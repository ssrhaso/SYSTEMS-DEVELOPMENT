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codeName="ThisWorkbook"/>
  <mc:AlternateContent xmlns:mc="http://schemas.openxmlformats.org/markup-compatibility/2006">
    <mc:Choice Requires="x15">
      <x15ac:absPath xmlns:x15ac="http://schemas.microsoft.com/office/spreadsheetml/2010/11/ac" url="https://uweacuk-my.sharepoint.com/personal/hasaan2_ahmad_live_uwe_ac_uk/Documents/BSc Computer Science/BSC CS YEAR 2/Systems Development - Group Project/"/>
    </mc:Choice>
  </mc:AlternateContent>
  <xr:revisionPtr revIDLastSave="1119" documentId="11_3C4179B01545E19DD6C385890107473B0B440F85" xr6:coauthVersionLast="47" xr6:coauthVersionMax="47" xr10:uidLastSave="{925078D1-8D9D-4ED3-9494-DADA7E987E16}"/>
  <bookViews>
    <workbookView xWindow="-98" yWindow="-98" windowWidth="21795" windowHeight="13695" firstSheet="2" xr2:uid="{00000000-000D-0000-FFFF-FFFF00000000}"/>
  </bookViews>
  <sheets>
    <sheet name="Project schedule" sheetId="11" r:id="rId1"/>
    <sheet name="Requirements" sheetId="13" r:id="rId2"/>
    <sheet name="Objectives " sheetId="12" r:id="rId3"/>
  </sheets>
  <definedNames>
    <definedName name="_xlnm._FilterDatabase" localSheetId="0" hidden="1">'Project schedule'!$A$8:$H$36</definedName>
    <definedName name="Display_Week">'Project schedule'!$S$2</definedName>
    <definedName name="_xlnm.Print_Titles" localSheetId="0">'Project schedule'!$4:$6</definedName>
    <definedName name="Project_Start">'Project schedule'!$S$1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 i="11" l="1"/>
  <c r="S1" i="11"/>
  <c r="J7" i="11"/>
  <c r="M5" i="11" l="1"/>
  <c r="J35" i="11"/>
  <c r="J34" i="11"/>
  <c r="J28" i="11"/>
  <c r="J22" i="11"/>
  <c r="J16" i="11"/>
  <c r="J8" i="11"/>
  <c r="J23" i="11" l="1"/>
  <c r="J24" i="11"/>
  <c r="J9" i="11"/>
  <c r="M6" i="11"/>
  <c r="J33" i="11" l="1"/>
  <c r="J32" i="11"/>
  <c r="J29" i="11"/>
  <c r="J27" i="11"/>
  <c r="J11" i="11"/>
  <c r="J25" i="11"/>
  <c r="J17" i="11"/>
  <c r="J13" i="11"/>
  <c r="N5" i="11"/>
  <c r="O5" i="11" s="1"/>
  <c r="P5" i="11" s="1"/>
  <c r="Q5" i="11" s="1"/>
  <c r="R5" i="11" s="1"/>
  <c r="S5" i="11" s="1"/>
  <c r="T5" i="11" s="1"/>
  <c r="K4" i="11"/>
  <c r="J30" i="11" l="1"/>
  <c r="J31" i="11"/>
  <c r="J26" i="11"/>
  <c r="J18" i="11"/>
  <c r="J12" i="11"/>
  <c r="R4" i="11"/>
  <c r="U5" i="11"/>
  <c r="V5" i="11" s="1"/>
  <c r="W5" i="11" s="1"/>
  <c r="X5" i="11" s="1"/>
  <c r="Y5" i="11" s="1"/>
  <c r="Z5" i="11" s="1"/>
  <c r="AA5" i="11" s="1"/>
  <c r="N6" i="11"/>
  <c r="J21" i="11" l="1"/>
  <c r="J20" i="11"/>
  <c r="J19" i="11"/>
  <c r="Y4" i="11"/>
  <c r="AB5" i="11"/>
  <c r="AC5" i="11" s="1"/>
  <c r="AD5" i="11" s="1"/>
  <c r="AE5" i="11" s="1"/>
  <c r="AF5" i="11" s="1"/>
  <c r="AG5" i="11" s="1"/>
  <c r="AH5" i="11" s="1"/>
  <c r="O6" i="11"/>
  <c r="AI5" i="11" l="1"/>
  <c r="AJ5" i="11" s="1"/>
  <c r="AK5" i="11" s="1"/>
  <c r="AL5" i="11" s="1"/>
  <c r="AM5" i="11" s="1"/>
  <c r="AN5" i="11" s="1"/>
  <c r="AF4" i="11"/>
  <c r="P6" i="11"/>
  <c r="AO5" i="11" l="1"/>
  <c r="AP5" i="11" s="1"/>
  <c r="AQ5" i="11" s="1"/>
  <c r="AR5" i="11" s="1"/>
  <c r="AS5" i="11" s="1"/>
  <c r="AT5" i="11" s="1"/>
  <c r="AU5" i="11" s="1"/>
  <c r="Q6" i="11"/>
  <c r="AV5" i="11" l="1"/>
  <c r="AW5" i="11" s="1"/>
  <c r="AM4" i="11"/>
  <c r="R6" i="11"/>
  <c r="AX5" i="11" l="1"/>
  <c r="AW6" i="11"/>
  <c r="AT4" i="11"/>
  <c r="S6" i="11"/>
  <c r="AY5" i="11" l="1"/>
  <c r="AX6" i="11"/>
  <c r="AZ5" i="11" l="1"/>
  <c r="AY6" i="11"/>
  <c r="T6" i="11"/>
  <c r="U6" i="11"/>
  <c r="BA5" i="11" l="1"/>
  <c r="AZ6" i="11"/>
  <c r="V6" i="11"/>
  <c r="BB5" i="11" l="1"/>
  <c r="BC5" i="11" s="1"/>
  <c r="BA6" i="11"/>
  <c r="W6" i="11"/>
  <c r="BC6" i="11" l="1"/>
  <c r="BD5" i="11"/>
  <c r="BA4" i="11"/>
  <c r="BB6" i="11"/>
  <c r="X6" i="11"/>
  <c r="BE5" i="11" l="1"/>
  <c r="BD6" i="11"/>
  <c r="Y6" i="11"/>
  <c r="BE6" i="11" l="1"/>
  <c r="BF5" i="11"/>
  <c r="Z6" i="11"/>
  <c r="BF6" i="11" l="1"/>
  <c r="BG5" i="11"/>
  <c r="AA6" i="11"/>
  <c r="BG6" i="11" l="1"/>
  <c r="BH5" i="11"/>
  <c r="AB6" i="11"/>
  <c r="BI5" i="11" l="1"/>
  <c r="BH6" i="11"/>
  <c r="AC6" i="11"/>
  <c r="BI6" i="11" l="1"/>
  <c r="BJ5" i="11"/>
  <c r="BH4" i="11" s="1"/>
  <c r="AD6" i="11"/>
  <c r="BJ6" i="11" l="1"/>
  <c r="BK5" i="11"/>
  <c r="AE6" i="11"/>
  <c r="BK6" i="11" l="1"/>
  <c r="BL5" i="11"/>
  <c r="AF6" i="11"/>
  <c r="BM5" i="11" l="1"/>
  <c r="BL6" i="11"/>
  <c r="AG6" i="11"/>
  <c r="BN5" i="11" l="1"/>
  <c r="BM6" i="11"/>
  <c r="AH6" i="11"/>
  <c r="BO5" i="11" l="1"/>
  <c r="BO6" i="11" s="1"/>
  <c r="BN6" i="11"/>
  <c r="AI6" i="11"/>
  <c r="BP5" i="11" l="1"/>
  <c r="BQ5" i="11" s="1"/>
  <c r="AJ6" i="11"/>
  <c r="BR5" i="11" l="1"/>
  <c r="BQ6" i="11"/>
  <c r="BO4" i="11"/>
  <c r="BP6" i="11"/>
  <c r="AK6" i="11"/>
  <c r="BS5" i="11" l="1"/>
  <c r="BR6" i="11"/>
  <c r="AL6" i="11"/>
  <c r="BT5" i="11" l="1"/>
  <c r="BS6" i="11"/>
  <c r="AM6" i="11"/>
  <c r="BU5" i="11" l="1"/>
  <c r="BT6" i="11"/>
  <c r="AN6" i="11"/>
  <c r="BV5" i="11" l="1"/>
  <c r="BU6" i="11"/>
  <c r="AO6" i="11"/>
  <c r="BV6" i="11" l="1"/>
  <c r="BW5" i="11"/>
  <c r="AP6" i="11"/>
  <c r="BW6" i="11" l="1"/>
  <c r="BX5" i="11"/>
  <c r="BV4" i="11" s="1"/>
  <c r="AQ6" i="11"/>
  <c r="BY5" i="11" l="1"/>
  <c r="BX6" i="11"/>
  <c r="AR6" i="11"/>
  <c r="BY6" i="11" l="1"/>
  <c r="BZ5" i="11"/>
  <c r="AS6" i="11"/>
  <c r="CA5" i="11" l="1"/>
  <c r="BZ6" i="11"/>
  <c r="AT6" i="11"/>
  <c r="CA6" i="11" l="1"/>
  <c r="CB5" i="11"/>
  <c r="AU6" i="11"/>
  <c r="CB6" i="11" l="1"/>
  <c r="CC5" i="11"/>
  <c r="AV6" i="11"/>
  <c r="CC6" i="11" l="1"/>
  <c r="CD5" i="11"/>
  <c r="CE5" i="11" s="1"/>
  <c r="CC4" i="11" s="1"/>
  <c r="CE6" i="11" l="1"/>
  <c r="CF5" i="11"/>
  <c r="CD6" i="11"/>
  <c r="CF6" i="11" l="1"/>
  <c r="CG5" i="11"/>
  <c r="CG6" i="11" l="1"/>
  <c r="CH5" i="11"/>
  <c r="CI5" i="11" l="1"/>
  <c r="CH6" i="11"/>
  <c r="CI6" i="11" l="1"/>
  <c r="CJ5" i="11"/>
  <c r="CJ6" i="11" l="1"/>
  <c r="CK5" i="11"/>
  <c r="CK6" i="11" l="1"/>
  <c r="CL5" i="11"/>
  <c r="CJ4" i="11" l="1"/>
  <c r="CL6" i="11"/>
  <c r="CM5" i="11"/>
  <c r="CM6" i="11" l="1"/>
  <c r="CN5" i="11"/>
  <c r="CO5" i="11" l="1"/>
  <c r="CN6" i="11"/>
  <c r="CO6" i="11" l="1"/>
  <c r="CP5" i="11"/>
  <c r="CP6" i="11" l="1"/>
  <c r="CQ5" i="11"/>
  <c r="CQ6" i="11" l="1"/>
  <c r="CR5" i="11"/>
  <c r="CR6" i="11" l="1"/>
  <c r="CS5" i="11"/>
  <c r="CQ4" i="11" l="1"/>
  <c r="CS6" i="11"/>
  <c r="CT5" i="11"/>
  <c r="CT6" i="11" l="1"/>
  <c r="CU5" i="11"/>
  <c r="CU6" i="11" l="1"/>
  <c r="CV5" i="11"/>
  <c r="CW5" i="11" l="1"/>
  <c r="CV6" i="11"/>
  <c r="CW6" i="11" l="1"/>
  <c r="CX5" i="11"/>
  <c r="CX6" i="11" l="1"/>
  <c r="CY5" i="11"/>
  <c r="CY6" i="11" l="1"/>
  <c r="CZ5" i="11"/>
  <c r="CX4" i="11" l="1"/>
  <c r="CZ6" i="11"/>
  <c r="DA5" i="11"/>
  <c r="DB5" i="11" l="1"/>
  <c r="DA6" i="11"/>
  <c r="DB6" i="11" l="1"/>
  <c r="DC5" i="11"/>
  <c r="DC6" i="11" l="1"/>
  <c r="DD5" i="11"/>
  <c r="DD6" i="11" l="1"/>
  <c r="DE5" i="11"/>
  <c r="DE6" i="11" l="1"/>
  <c r="DF5" i="11"/>
  <c r="DF6" i="11" l="1"/>
  <c r="DG5" i="11"/>
  <c r="DG6" i="11" l="1"/>
  <c r="DH5" i="11"/>
  <c r="DE4" i="11"/>
  <c r="DH6" i="11" l="1"/>
  <c r="DI5" i="11"/>
  <c r="DI6" i="11" l="1"/>
  <c r="DJ5" i="11"/>
  <c r="DK5" i="11" l="1"/>
  <c r="DJ6" i="11"/>
  <c r="DL5" i="11" l="1"/>
  <c r="DK6" i="11"/>
  <c r="DM5" i="11" l="1"/>
  <c r="DL6" i="11"/>
  <c r="DM6" i="11" l="1"/>
  <c r="DN5" i="11"/>
  <c r="DO5" i="11" l="1"/>
  <c r="DN6" i="11"/>
  <c r="DL4" i="11"/>
  <c r="DO6" i="11" l="1"/>
  <c r="DP5" i="11"/>
  <c r="DQ5" i="11" l="1"/>
  <c r="DP6" i="11"/>
  <c r="DQ6" i="11" l="1"/>
  <c r="DR5" i="11"/>
  <c r="DS5" i="11" l="1"/>
  <c r="DR6" i="11"/>
  <c r="DS6" i="11" l="1"/>
  <c r="DT5" i="11"/>
  <c r="DT6" i="11" l="1"/>
  <c r="DU5" i="11"/>
  <c r="DV5" i="11" l="1"/>
  <c r="DS4" i="11"/>
  <c r="DU6" i="11"/>
  <c r="DV6" i="11" l="1"/>
  <c r="DW5" i="11"/>
  <c r="DW6" i="11" l="1"/>
  <c r="DX5" i="11"/>
  <c r="DX6" i="11" l="1"/>
  <c r="DY5" i="11"/>
  <c r="DY6" i="11" l="1"/>
  <c r="DZ5" i="11"/>
  <c r="DZ6" i="11" l="1"/>
  <c r="EA5" i="11"/>
  <c r="EA6" i="11" l="1"/>
  <c r="EB5" i="11"/>
  <c r="DZ4" i="11" l="1"/>
  <c r="EB6" i="11"/>
  <c r="EC5" i="11"/>
  <c r="EC6" i="11" l="1"/>
  <c r="ED5" i="11"/>
  <c r="ED6" i="11" l="1"/>
  <c r="EE5" i="11"/>
  <c r="EE6" i="11" l="1"/>
  <c r="EF5" i="11"/>
  <c r="EF6" i="11" l="1"/>
  <c r="EG5" i="11"/>
  <c r="EG6" i="11" l="1"/>
  <c r="EH5" i="11"/>
  <c r="EH6" i="11" l="1"/>
  <c r="EI5" i="11"/>
  <c r="EG4" i="11" l="1"/>
  <c r="EI6" i="11"/>
  <c r="EJ5" i="11"/>
  <c r="EJ6" i="11" l="1"/>
  <c r="EK5" i="11"/>
  <c r="EK6" i="11" l="1"/>
  <c r="EL5" i="11"/>
  <c r="EL6" i="11" l="1"/>
  <c r="EM5" i="11"/>
  <c r="EM6" i="11" l="1"/>
  <c r="EN5" i="11"/>
  <c r="EN6" i="11" l="1"/>
  <c r="EO5" i="11"/>
  <c r="EO6" i="11" l="1"/>
  <c r="EP5" i="11"/>
  <c r="EN4" i="11" l="1"/>
  <c r="EP6" i="11"/>
  <c r="EQ5" i="11"/>
  <c r="EQ6" i="11" l="1"/>
  <c r="ER5" i="11"/>
  <c r="ER6" i="11" l="1"/>
  <c r="ES5" i="11"/>
  <c r="ES6" i="11" l="1"/>
  <c r="ET5" i="11"/>
  <c r="ET6" i="11" l="1"/>
  <c r="EU5" i="11"/>
  <c r="EU6" i="11" l="1"/>
  <c r="EV5" i="11"/>
  <c r="EV6" i="11" l="1"/>
  <c r="EW5" i="11"/>
  <c r="EX5" i="11" l="1"/>
  <c r="EU4" i="11"/>
  <c r="EW6" i="11"/>
  <c r="EX6" i="11" l="1"/>
  <c r="EY5" i="11"/>
  <c r="EY6" i="11" l="1"/>
  <c r="EZ5" i="11"/>
  <c r="EZ6" i="11" l="1"/>
  <c r="FA5" i="11"/>
  <c r="FA6" i="11" l="1"/>
  <c r="FB5" i="11"/>
  <c r="FB6" i="11" l="1"/>
  <c r="FC5" i="11"/>
  <c r="FC6" i="11" l="1"/>
  <c r="FD5" i="11"/>
  <c r="FB4" i="11" l="1"/>
  <c r="FD6" i="11"/>
  <c r="FE5" i="11"/>
  <c r="FE6" i="11" l="1"/>
  <c r="FF5" i="11"/>
  <c r="FF6" i="11" l="1"/>
  <c r="FG5" i="11"/>
  <c r="FG6" i="11" l="1"/>
  <c r="FH5" i="11"/>
  <c r="FH6" i="11" l="1"/>
  <c r="FI5" i="11"/>
  <c r="FI6" i="11" l="1"/>
  <c r="FJ5" i="11"/>
  <c r="FJ6" i="11" l="1"/>
  <c r="FK5" i="11"/>
  <c r="FL5" i="11" l="1"/>
  <c r="FK6" i="11"/>
  <c r="FI4" i="11"/>
  <c r="FL6" i="11" l="1"/>
  <c r="FM5" i="11"/>
  <c r="FN5" i="11" l="1"/>
  <c r="FM6" i="11"/>
  <c r="FN6" i="11" l="1"/>
  <c r="FO5" i="11"/>
  <c r="FP5" i="11" l="1"/>
  <c r="FO6" i="11"/>
  <c r="FP6" i="11" l="1"/>
  <c r="FQ5" i="11"/>
  <c r="FQ6" i="11" l="1"/>
  <c r="FR5" i="11"/>
  <c r="FP4" i="11" l="1"/>
  <c r="FR6" i="11"/>
  <c r="FS5" i="11"/>
  <c r="FS6" i="11" l="1"/>
  <c r="FT5" i="11"/>
  <c r="FT6" i="11" l="1"/>
  <c r="FU5" i="11"/>
  <c r="FU6" i="11" l="1"/>
  <c r="FV5" i="11"/>
  <c r="FV6" i="11" l="1"/>
  <c r="FW5" i="11"/>
  <c r="FX5" i="11" l="1"/>
  <c r="FW6" i="11"/>
  <c r="FX6" i="11" l="1"/>
  <c r="FY5" i="11"/>
  <c r="FW4" i="11" l="1"/>
  <c r="FY6" i="11"/>
  <c r="FZ5" i="11"/>
  <c r="FZ6" i="11" l="1"/>
  <c r="GA5" i="11"/>
  <c r="GA6" i="11" l="1"/>
  <c r="GB5" i="11"/>
  <c r="GB6" i="11" l="1"/>
  <c r="GC5" i="11"/>
  <c r="GC6" i="11" l="1"/>
  <c r="GD5" i="11"/>
  <c r="GE5" i="11" l="1"/>
  <c r="GD6" i="11"/>
  <c r="GE6" i="11" l="1"/>
  <c r="GF5" i="11"/>
  <c r="GG5" i="11" l="1"/>
  <c r="GD4" i="11"/>
  <c r="GF6" i="11"/>
  <c r="GG6" i="11" l="1"/>
  <c r="GH5" i="11"/>
  <c r="GH6" i="11" l="1"/>
  <c r="GI5" i="11"/>
  <c r="GI6" i="11" l="1"/>
  <c r="GJ5" i="11"/>
  <c r="GJ6" i="11" l="1"/>
</calcChain>
</file>

<file path=xl/sharedStrings.xml><?xml version="1.0" encoding="utf-8"?>
<sst xmlns="http://schemas.openxmlformats.org/spreadsheetml/2006/main" count="269" uniqueCount="227">
  <si>
    <t>SD (Systems Development) Group Project</t>
  </si>
  <si>
    <t>Project Start:</t>
  </si>
  <si>
    <t>Project End:</t>
  </si>
  <si>
    <t>Project Management &amp; Task Assignment</t>
  </si>
  <si>
    <t>Display week:</t>
  </si>
  <si>
    <t xml:space="preserve">Hasaan (Project Manager), Rayyan (Technical Lead),  Royden (UI/UX Lead), Ishaq (Data Engineer) </t>
  </si>
  <si>
    <t>OBJECTIVE</t>
  </si>
  <si>
    <t>OBJ DESC</t>
  </si>
  <si>
    <t>ASSIGNED TO</t>
  </si>
  <si>
    <t>PROGRESS</t>
  </si>
  <si>
    <t>START</t>
  </si>
  <si>
    <t>END</t>
  </si>
  <si>
    <t>REQUIREMENT</t>
  </si>
  <si>
    <t>TASK</t>
  </si>
  <si>
    <t>Objective 1: Data Ingestion &amp; Preprocessing</t>
  </si>
  <si>
    <t>Develop robust data ingestion module to read, validate, and preprocess CSV sales data</t>
  </si>
  <si>
    <t>Ishaq</t>
  </si>
  <si>
    <t>FR1  Read Sales CSV Data</t>
  </si>
  <si>
    <t>Upload CSV file Function</t>
  </si>
  <si>
    <t>Read CSV file</t>
  </si>
  <si>
    <t>Clean data using Pandas</t>
  </si>
  <si>
    <t>FR1- Read Sales CSV Data  &amp; NFR4 - Reliability</t>
  </si>
  <si>
    <t>Error handling for data quality (missing values, duplicates)</t>
  </si>
  <si>
    <t>Objective 2: Historical Data Visualization</t>
  </si>
  <si>
    <t>Design and implement interactive dashboard displaying historical sales trends for top 6 products</t>
  </si>
  <si>
    <t>Rayyan</t>
  </si>
  <si>
    <t>FR2</t>
  </si>
  <si>
    <t>Dashboard displaying historical sales trends for the top 3 food items and top 3 coffee products</t>
  </si>
  <si>
    <t xml:space="preserve">Royden </t>
  </si>
  <si>
    <t>FR3</t>
  </si>
  <si>
    <t>Dashboard displays 6 distinct charts showing 4+ weeks of sales data with clear axes</t>
  </si>
  <si>
    <t>Implement product ranking logic (FR2)</t>
  </si>
  <si>
    <t>Royden</t>
  </si>
  <si>
    <t>System MUST display historical sales fluctuations using line charts</t>
  </si>
  <si>
    <t>Royden, Rayyan</t>
  </si>
  <si>
    <t>NFR6 &amp; NFR5</t>
  </si>
  <si>
    <t>Apply Bristol-Pink color scheme</t>
  </si>
  <si>
    <t>NFR3 &amp; NFR5</t>
  </si>
  <si>
    <t>Design dashboard mockup/wireframes</t>
  </si>
  <si>
    <t>Objective 3: Predictive Model Development</t>
  </si>
  <si>
    <t>Select, train, and evaluate suitable ML/time-series algorithm to forecast 4-week sales</t>
  </si>
  <si>
    <t>ALL</t>
  </si>
  <si>
    <t>FR4 - Sales Prediction</t>
  </si>
  <si>
    <t>Select ML/time-series algorithm - Research ARIMA/Prophet/LSTM</t>
  </si>
  <si>
    <t>Hasaan</t>
  </si>
  <si>
    <t xml:space="preserve">Implement prediction model - training 
</t>
  </si>
  <si>
    <t>Implement 28-day forecast generation</t>
  </si>
  <si>
    <t xml:space="preserve">Display predictions - table and chart (FR5)
</t>
  </si>
  <si>
    <t>NFR1- Performance NFR2 - Accuracy</t>
  </si>
  <si>
    <t>Calculate and display MAPE (Mean Absolute % Error)</t>
  </si>
  <si>
    <t>Model validation testing, test on hold-out dataset</t>
  </si>
  <si>
    <t>Hasaan, Royden</t>
  </si>
  <si>
    <t xml:space="preserve">Display MAPE and accuracy metrics in dashboard section
</t>
  </si>
  <si>
    <t>Objective 4: Interactive Prediction Interface</t>
  </si>
  <si>
    <t>Implement user-interactive features for training period selection, zoom, and predictions vs actuals</t>
  </si>
  <si>
    <t>Ishaq, Rayyan</t>
  </si>
  <si>
    <t>FR4 -  Sales Predictions</t>
  </si>
  <si>
    <t>Implement zoom/date range filter</t>
  </si>
  <si>
    <t>Implement training period selector - slider widget</t>
  </si>
  <si>
    <t>Implement comparison view - overlay charts</t>
  </si>
  <si>
    <t>FR4 -  Sales Predictions &amp;  NFR7 - Security</t>
  </si>
  <si>
    <t>Implement user authentication - password hashing</t>
  </si>
  <si>
    <t>Finalise interactive features (Milesone) - demo to mentor</t>
  </si>
  <si>
    <t>Objective 5: Testing, Documentation &amp; Deployment</t>
  </si>
  <si>
    <t>Conduct comprehensive testing, complete documentation, prepare final demonstration</t>
  </si>
  <si>
    <t>NFR1</t>
  </si>
  <si>
    <t>Performance testing - measure load time</t>
  </si>
  <si>
    <t>NFR3, NFR4, &amp; NFR5</t>
  </si>
  <si>
    <t>Usability testing - 2+ participants, 5 min tasks</t>
  </si>
  <si>
    <t>All functional requirements</t>
  </si>
  <si>
    <t xml:space="preserve">System testing - all requirements </t>
  </si>
  <si>
    <t>-</t>
  </si>
  <si>
    <t>Code documentation - comments &amp; README</t>
  </si>
  <si>
    <t>Write full report sections (Introduction, Literature, Design, Implementation, Testing, Evaluation)</t>
  </si>
  <si>
    <t>Each member: Individual reflective essay on group work, learning, skills</t>
  </si>
  <si>
    <t>ID</t>
  </si>
  <si>
    <t>Requirement</t>
  </si>
  <si>
    <t>SMART Description</t>
  </si>
  <si>
    <t>Acceptance Criteria</t>
  </si>
  <si>
    <t>MoSCoW</t>
  </si>
  <si>
    <t>Source</t>
  </si>
  <si>
    <t>FR1</t>
  </si>
  <si>
    <t>Read Sales CSV Data</t>
  </si>
  <si>
    <t>System must allow user to upload and process sales data CSV file within 5 seconds; errors shown in UI by Week 3.</t>
  </si>
  <si>
    <t>File upload, errors handled, DataFrame created in &lt;5s across 3 tests.</t>
  </si>
  <si>
    <t>Must</t>
  </si>
  <si>
    <t>Display Top 3 Products</t>
  </si>
  <si>
    <t>System must show most-sold 3 foods &amp; 3 coffees in chart, auto-updating for last 4 weeks, by Week 5.</t>
  </si>
  <si>
    <t>Correct bar/line chart; validated against dataset.</t>
  </si>
  <si>
    <t>Sales Fluctuation Graph</t>
  </si>
  <si>
    <t>System provides selectable line graph of sales fluctuation for 6 items; user can set 4-week window by end of Week 6.</t>
  </si>
  <si>
    <t>Graph updates when user changes date window; matches data.</t>
  </si>
  <si>
    <t>FR4</t>
  </si>
  <si>
    <t>Sales Prediction</t>
  </si>
  <si>
    <t>At least one ML model (Prophet/ARIMA) predicts next 28 days for any chosen product on dashboard by Week 8.</t>
  </si>
  <si>
    <t>Table/plot of predictions shown, MAPE &lt;35% on test set.</t>
  </si>
  <si>
    <t>FR5</t>
  </si>
  <si>
    <t>Adjust Training Window</t>
  </si>
  <si>
    <t>User can select training period (4-8 weeks) in dashboard, affecting model results live by Week 10.</t>
  </si>
  <si>
    <t>Slider/dropdown changes training window, output/metrics update.</t>
  </si>
  <si>
    <t>Should</t>
  </si>
  <si>
    <t>FR6</t>
  </si>
  <si>
    <t>Export Predictions</t>
  </si>
  <si>
    <t>User can export predictions/historical data to CSV file from dashboard by Week 12.</t>
  </si>
  <si>
    <t>'Export' button downloads CSV; tested on Chrome/Edge.</t>
  </si>
  <si>
    <t>Performance</t>
  </si>
  <si>
    <t>All dashboard actions (load/process/display) complete in &lt;5 seconds, confirmed in final testing.</t>
  </si>
  <si>
    <t>90% of actions on mid-range laptop &lt;5s in test report.</t>
  </si>
  <si>
    <t>NFR2</t>
  </si>
  <si>
    <t>Accuracy</t>
  </si>
  <si>
    <t>Predictions must achieve Mean Absolute Percentage Error (MAPE) ≤ 35% on test data by Week 12.</t>
  </si>
  <si>
    <t>MAPE script and dashboard values ≤35% on test holdout.</t>
  </si>
  <si>
    <t>NFR3</t>
  </si>
  <si>
    <t>Usability</t>
  </si>
  <si>
    <t>UI/UX rated good (≥4/5) by 3+ peers/mentor in Week 14 review with labeled controls.</t>
  </si>
  <si>
    <t>Feedback form; all controls labeled; ≥4/5 score.</t>
  </si>
  <si>
    <t>NFR4</t>
  </si>
  <si>
    <t>Reliability</t>
  </si>
  <si>
    <t>System handles missing/corrupt files and informs user via error message; never crashes in 5 error test cases by Week 14.</t>
  </si>
  <si>
    <t>Errors in 5 file tests handled with UI message, no crash.</t>
  </si>
  <si>
    <t>NFR5</t>
  </si>
  <si>
    <t>Responsiveness</t>
  </si>
  <si>
    <t>Dashboard renders correctly and maintains usability on desktop, tablet, mobile at 3 tested resolutions by Week 14.</t>
  </si>
  <si>
    <t>Usable on 3+ device types, confirmed by peers.</t>
  </si>
  <si>
    <t>NFR6</t>
  </si>
  <si>
    <t>Accessibility</t>
  </si>
  <si>
    <t>Dashboard color scheme (black/pink/white) and text pass WCAG AA contrast; resizes to 150% in Chrome.</t>
  </si>
  <si>
    <t>Accessibility/contrast test logs attached in report.</t>
  </si>
  <si>
    <t>NFR7</t>
  </si>
  <si>
    <t>Security</t>
  </si>
  <si>
    <t>Implement user authentication (passwords) and manage in database logs with correct keying.</t>
  </si>
  <si>
    <t>User details hashed and login session managed</t>
  </si>
  <si>
    <t>OBJECTIVES (SMART)</t>
  </si>
  <si>
    <t>OBJECTIVE NAME</t>
  </si>
  <si>
    <t>VERIFICATION METHOD</t>
  </si>
  <si>
    <t>Objective 1</t>
  </si>
  <si>
    <t>DATA INGESTION AND PREPROCESSING</t>
  </si>
  <si>
    <t>Objective 1 - Specific</t>
  </si>
  <si>
    <t>Develop a robust data ingestion module that reads, validates, and preprocesses CSV sales data files containing historical transaction records</t>
  </si>
  <si>
    <t>Verification: Successful loading of test CSV; error logs for invalid data; mentor code review</t>
  </si>
  <si>
    <t>Objective 1 - Measurable</t>
  </si>
  <si>
    <t>Successfully load sample CSV files (min. 4 weeks of data) with error handling for missing/malformed data; demonstrate with test dataset by Week 3</t>
  </si>
  <si>
    <t>Verification: Unit tests pass; sample data processed without errors</t>
  </si>
  <si>
    <t>Objective 1 - Achievable</t>
  </si>
  <si>
    <t>Use Python with Pandas library; team has existing Python knowledge; CSV format is standardized</t>
  </si>
  <si>
    <t>Verification: Team skills assessment; library documentation reviewed</t>
  </si>
  <si>
    <t>Objective 1 - Relevant</t>
  </si>
  <si>
    <t>Essential foundation for all analysis and prediction tasks; directly addresses requirement to process historical sales data</t>
  </si>
  <si>
    <t>Verification: Linked to Requirements FR1, FR2 in Requirements sheet</t>
  </si>
  <si>
    <t>Objective 1 - Time-bound</t>
  </si>
  <si>
    <t>Complete and demonstrate to mentor by Week 3 (Nov 10, 2025)</t>
  </si>
  <si>
    <t>Verification: Gantt chart milestone; GitHub commit by deadline</t>
  </si>
  <si>
    <t>Objective 2</t>
  </si>
  <si>
    <t>HISTORICAL DATA VISUALIZATION</t>
  </si>
  <si>
    <t>Objective 2 - Specific</t>
  </si>
  <si>
    <t>Design and implement an interactive dashboard displaying historical sales trends for the top 3 food items and top 3 coffee products using appropriate graphical representations</t>
  </si>
  <si>
    <t>Verification: Dashboard renders all 6 charts; peer review feedback form completed</t>
  </si>
  <si>
    <t>Objective 2 - Measurable</t>
  </si>
  <si>
    <t>Dashboard displays 6 distinct charts showing 4+ weeks of sales data with clear axes, legends, and labels; peer review confirms clarity by Week 5</t>
  </si>
  <si>
    <t>Verification: UI checklist confirms all elements present; mentor sign-off</t>
  </si>
  <si>
    <t>Objective 2 - Achievable</t>
  </si>
  <si>
    <t>Use Streamlit/Plotly libraries; similar dashboards completed in previous modules; design templates available</t>
  </si>
  <si>
    <t>Verification: ASD Gantt chart shows completed similar work; Streamlit tutorials reviewed</t>
  </si>
  <si>
    <t>Objective 2 - Relevant</t>
  </si>
  <si>
    <t>Provides stakeholders with visual insights into sales patterns; required deliverable per case study specifications</t>
  </si>
  <si>
    <t>Verification: Case study explicitly requests graphical display of top products</t>
  </si>
  <si>
    <t>Objective 2 - Time-bound</t>
  </si>
  <si>
    <t>Complete dashboard prototype by Week 5 (Nov 24, 2025); finalize by Week 8</t>
  </si>
  <si>
    <t>Verification: Formative feedback session scheduled Week 5; final review Week 8</t>
  </si>
  <si>
    <t>Objective 3</t>
  </si>
  <si>
    <t>PREDICTIVE MODEL DEVELOPMENT</t>
  </si>
  <si>
    <t>Objective 3 - Specific</t>
  </si>
  <si>
    <t>Select, train, and evaluate at least one suitable time-series or machine learning algorithm to forecast 4-week sales volumes for key products</t>
  </si>
  <si>
    <t>Verification: Model evaluation script outputs MAPE; prediction CSV generated for 28 days</t>
  </si>
  <si>
    <t>Objective 3 - Measurable</t>
  </si>
  <si>
    <t>Model generates 28-day predictions with Mean Absolute Percentage Error (MAPE) &lt; 10%; model evaluation report documents performance by Week 10</t>
  </si>
  <si>
    <t>Verification: MAPE calculation documented in notebook; threshold &lt; 10% confirmed</t>
  </si>
  <si>
    <t>Objective 3 - Achievable</t>
  </si>
  <si>
    <t>Team will research ARIMA, Prophet, or LSTM models via literature review; Scikit-learn/statsmodels libraries available; similar models covered in ML modules</t>
  </si>
  <si>
    <t>Verification: Literature review cites 3+ relevant papers; model comparison table completed</t>
  </si>
  <si>
    <t>Objective 3 - Relevant</t>
  </si>
  <si>
    <t>Core technical requirement; predictive accuracy directly impacts inventory optimization and waste reduction goal</t>
  </si>
  <si>
    <t>Verification: Risk register identifies prediction accuracy as critical success factor</t>
  </si>
  <si>
    <t>Objective 3 - Time-bound</t>
  </si>
  <si>
    <t>Initial model training by Week 7 (Dec 8, 2025); achieve MAPE target by Week 10 (Jan 5, 2026)</t>
  </si>
  <si>
    <t>Verification: Testing phase begins Week 7; performance report due Week 10</t>
  </si>
  <si>
    <t>Objective 4</t>
  </si>
  <si>
    <t>INTERACTIVE PREDICTION INTERFACE</t>
  </si>
  <si>
    <t>Objective 4 - Specific</t>
  </si>
  <si>
    <t>Implement user-interactive features allowing selection of training period (4-8 weeks), zoom functionality for date ranges, and graphical comparison of predictions vs. actuals</t>
  </si>
  <si>
    <t>Verification: Screen recording shows all interactive features functioning; mentor test session</t>
  </si>
  <si>
    <t>Objective 4 - Measurable</t>
  </si>
  <si>
    <t>Users can adjust training period via slider/dropdown; zoom feature allows date selection; comparison view displays overlayed charts; demonstrated to mentor by Week 11</t>
  </si>
  <si>
    <t>Verification: Feature checklist confirms slider, zoom, comparison view all operational</t>
  </si>
  <si>
    <t>Objective 4 - Achievable</t>
  </si>
  <si>
    <t>Streamlit supports interactive widgets; team member with UI/UX interest assigned; similar features implemented in ASD module</t>
  </si>
  <si>
    <t>Verification: Team member CVs show relevant skills; ASD module completion referenced</t>
  </si>
  <si>
    <t>Objective 4 - Relevant</t>
  </si>
  <si>
    <t>Enhances usability and allows stakeholders to test different forecasting scenarios; addresses requirement for interactive dashboard</t>
  </si>
  <si>
    <t>Verification: Requirements FR6, FR7, FR8 addressed; enhances user engagement</t>
  </si>
  <si>
    <t>Objective 4 - Time-bound</t>
  </si>
  <si>
    <t>Complete feature implementation by Week 11 (Jan 12, 2026); user testing by Week 12</t>
  </si>
  <si>
    <t>Verification: User testing session with 2+ external participants; feedback documented</t>
  </si>
  <si>
    <t>Objective 5</t>
  </si>
  <si>
    <t>TESTING, DOCUMENTATION, AND DEPLOYMENT</t>
  </si>
  <si>
    <t>Objective 5 - Specific</t>
  </si>
  <si>
    <t>Conduct comprehensive system testing against test plan, complete technical documentation, and prepare final demonstration with critical evaluation</t>
  </si>
  <si>
    <t>Verification: Test plan document with pass/fail results; word count verified; demonstration timing checked</t>
  </si>
  <si>
    <t>Objective 5 - Measurable</t>
  </si>
  <si>
    <t>Test plan covers all functional/non-functional requirements; documentation includes user guide and technical report (6000 words max); 18-min demonstration delivered; all measured via rubric criteria</t>
  </si>
  <si>
    <t>Verification: Assessment rubric confirms all criteria met; Turnitin submission successful</t>
  </si>
  <si>
    <t>Objective 5 - Achievable</t>
  </si>
  <si>
    <t>Testing methodologies covered in module; documentation templates provided; adequate time allocated for refinement based on formative feedback</t>
  </si>
  <si>
    <t>Verification: Test plan reviewed by mentor; formative feedback incorporated; rehearsal conducted</t>
  </si>
  <si>
    <t>Objective 5 - Relevant</t>
  </si>
  <si>
    <t>Ensures system quality and completeness; required for assessment submission and professional presentation of work</t>
  </si>
  <si>
    <t>Verification: Module assessment brief criteria checked; portfolio contents validated</t>
  </si>
  <si>
    <t>Objective 5 - Time-bound</t>
  </si>
  <si>
    <t>Testing: Weeks 12-13 (Jan-Feb 2026); Documentation: Weeks 13-14 (Feb 2026); Final submission by April 2, 2026</t>
  </si>
  <si>
    <t>Verification: Submission checklist completed; all deliverables uploaded to Blackboard</t>
  </si>
  <si>
    <t>AIM:</t>
  </si>
  <si>
    <t>The aim of this project is to design, implement, and evaluate an intelligent forecasting dashboard that supports Bristol Pink Café managers in decision-making by reducing food waste and optimising inventory purchases using advanced data analytics and machine learning, delivered as a deployable system by the end of the project timeline.</t>
  </si>
  <si>
    <t>DESIGN PHASE:</t>
  </si>
  <si>
    <t>UML Diagrams</t>
  </si>
  <si>
    <t>UI / UX Diagrams</t>
  </si>
  <si>
    <t>Database Design</t>
  </si>
  <si>
    <t>Pseudocode / Algorithm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</si>
</sst>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5">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b/>
      <sz val="16"/>
      <color theme="9"/>
      <name val="Arial"/>
      <family val="2"/>
      <scheme val="minor"/>
    </font>
    <font>
      <b/>
      <sz val="40"/>
      <color theme="9"/>
      <name val="Arial Black"/>
      <family val="2"/>
      <scheme val="major"/>
    </font>
    <font>
      <b/>
      <sz val="40"/>
      <color rgb="FF00B050"/>
      <name val="Arial Black"/>
      <family val="2"/>
      <scheme val="major"/>
    </font>
    <font>
      <b/>
      <sz val="16"/>
      <color rgb="FF00B050"/>
      <name val="Arial"/>
      <family val="2"/>
      <scheme val="minor"/>
    </font>
    <font>
      <sz val="11"/>
      <color rgb="FF00B050"/>
      <name val="Arial"/>
      <family val="2"/>
      <scheme val="minor"/>
    </font>
    <font>
      <sz val="16"/>
      <color rgb="FF00B050"/>
      <name val="Arial"/>
      <family val="2"/>
      <scheme val="minor"/>
    </font>
    <font>
      <b/>
      <sz val="16"/>
      <color rgb="FF00B050"/>
      <name val="Arial Black"/>
      <family val="2"/>
      <scheme val="major"/>
    </font>
    <font>
      <b/>
      <sz val="11"/>
      <color theme="1"/>
      <name val="Arial"/>
      <family val="2"/>
      <scheme val="minor"/>
    </font>
    <font>
      <b/>
      <sz val="14"/>
      <color theme="1"/>
      <name val="Arial"/>
      <family val="2"/>
      <scheme val="minor"/>
    </font>
    <font>
      <b/>
      <sz val="14"/>
      <name val="Arial"/>
      <family val="2"/>
      <scheme val="minor"/>
    </font>
    <font>
      <b/>
      <i/>
      <sz val="14"/>
      <color theme="1"/>
      <name val="Arial"/>
      <family val="2"/>
      <scheme val="minor"/>
    </font>
    <font>
      <b/>
      <sz val="14"/>
      <color theme="1" tint="0.499984740745262"/>
      <name val="Arial"/>
      <family val="2"/>
      <scheme val="minor"/>
    </font>
    <font>
      <b/>
      <sz val="14"/>
      <color rgb="FF000000"/>
      <name val="Arial"/>
      <family val="2"/>
      <scheme val="minor"/>
    </font>
    <font>
      <b/>
      <sz val="12"/>
      <name val="Arial"/>
      <family val="2"/>
      <scheme val="minor"/>
    </font>
    <font>
      <i/>
      <sz val="11"/>
      <color theme="1"/>
      <name val="Arial"/>
      <family val="2"/>
      <scheme val="minor"/>
    </font>
    <font>
      <sz val="12"/>
      <color theme="1"/>
      <name val="Arial Black"/>
      <family val="2"/>
      <scheme val="major"/>
    </font>
    <font>
      <b/>
      <sz val="20"/>
      <color theme="1"/>
      <name val="Arial"/>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6"/>
        <bgColor indexed="64"/>
      </patternFill>
    </fill>
    <fill>
      <patternFill patternType="solid">
        <fgColor rgb="FFFF4D4D"/>
        <bgColor indexed="64"/>
      </patternFill>
    </fill>
    <fill>
      <patternFill patternType="solid">
        <fgColor them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3" tint="0.749992370372631"/>
        <bgColor indexed="64"/>
      </patternFill>
    </fill>
    <fill>
      <patternFill patternType="solid">
        <fgColor theme="6" tint="-0.249977111117893"/>
        <bgColor indexed="64"/>
      </patternFill>
    </fill>
    <fill>
      <patternFill patternType="solid">
        <fgColor theme="9" tint="0.59999389629810485"/>
        <bgColor indexed="64"/>
      </patternFill>
    </fill>
  </fills>
  <borders count="5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theme="0" tint="-4.9989318521683403E-2"/>
      </left>
      <right style="thin">
        <color theme="0" tint="-4.9989318521683403E-2"/>
      </right>
      <top/>
      <bottom style="thin">
        <color theme="0" tint="-4.9989318521683403E-2"/>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medium">
        <color theme="0" tint="-0.14996795556505021"/>
      </top>
      <bottom/>
      <diagonal/>
    </border>
    <border>
      <left style="thin">
        <color auto="1"/>
      </left>
      <right style="thin">
        <color auto="1"/>
      </right>
      <top/>
      <bottom style="thin">
        <color auto="1"/>
      </bottom>
      <diagonal/>
    </border>
    <border>
      <left/>
      <right/>
      <top/>
      <bottom style="medium">
        <color theme="0" tint="-0.14996795556505021"/>
      </bottom>
      <diagonal/>
    </border>
    <border>
      <left style="thin">
        <color theme="0" tint="-4.9989318521683403E-2"/>
      </left>
      <right/>
      <top/>
      <bottom style="thin">
        <color theme="0" tint="-4.9989318521683403E-2"/>
      </bottom>
      <diagonal/>
    </border>
    <border>
      <left style="thin">
        <color theme="0" tint="-4.9989318521683403E-2"/>
      </left>
      <right style="thin">
        <color theme="0" tint="-4.9989318521683403E-2"/>
      </right>
      <top/>
      <bottom/>
      <diagonal/>
    </border>
    <border>
      <left/>
      <right style="thin">
        <color auto="1"/>
      </right>
      <top style="thin">
        <color auto="1"/>
      </top>
      <bottom style="thin">
        <color auto="1"/>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theme="0" tint="-4.9989318521683403E-2"/>
      </right>
      <top/>
      <bottom style="thin">
        <color theme="0" tint="-4.9989318521683403E-2"/>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diagonal/>
    </border>
    <border>
      <left style="thin">
        <color rgb="FF000000"/>
      </left>
      <right/>
      <top style="thin">
        <color rgb="FF000000"/>
      </top>
      <bottom style="thin">
        <color indexed="64"/>
      </bottom>
      <diagonal/>
    </border>
    <border>
      <left/>
      <right style="thin">
        <color indexed="64"/>
      </right>
      <top style="thin">
        <color auto="1"/>
      </top>
      <bottom style="thin">
        <color rgb="FF000000"/>
      </bottom>
      <diagonal/>
    </border>
    <border>
      <left/>
      <right style="thin">
        <color indexed="64"/>
      </right>
      <top/>
      <bottom style="thin">
        <color auto="1"/>
      </bottom>
      <diagonal/>
    </border>
    <border>
      <left style="thin">
        <color rgb="FF000000"/>
      </left>
      <right/>
      <top style="thin">
        <color indexed="64"/>
      </top>
      <bottom/>
      <diagonal/>
    </border>
    <border>
      <left style="thin">
        <color rgb="FF000000"/>
      </left>
      <right/>
      <top style="thin">
        <color auto="1"/>
      </top>
      <bottom style="thin">
        <color auto="1"/>
      </bottom>
      <diagonal/>
    </border>
    <border>
      <left style="thin">
        <color indexed="64"/>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79">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7" fillId="0" borderId="0" xfId="3"/>
    <xf numFmtId="0" fontId="7" fillId="0" borderId="0" xfId="3" applyAlignment="1">
      <alignment wrapText="1"/>
    </xf>
    <xf numFmtId="0" fontId="9" fillId="0" borderId="0" xfId="0" applyFont="1"/>
    <xf numFmtId="0" fontId="8" fillId="0" borderId="0" xfId="0" applyFont="1"/>
    <xf numFmtId="0" fontId="8" fillId="0" borderId="0" xfId="0" applyFont="1" applyAlignment="1">
      <alignment horizontal="center"/>
    </xf>
    <xf numFmtId="0" fontId="8" fillId="0" borderId="0" xfId="0" applyFont="1" applyAlignment="1">
      <alignment horizontal="center" vertical="center"/>
    </xf>
    <xf numFmtId="0" fontId="10" fillId="0" borderId="0" xfId="0" applyFont="1"/>
    <xf numFmtId="0" fontId="10" fillId="0" borderId="0" xfId="0" applyFont="1" applyAlignment="1">
      <alignment horizontal="center"/>
    </xf>
    <xf numFmtId="0" fontId="11"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4" fillId="4" borderId="14" xfId="0" applyNumberFormat="1" applyFont="1" applyFill="1" applyBorder="1" applyAlignment="1">
      <alignment horizontal="center" vertical="center"/>
    </xf>
    <xf numFmtId="167" fontId="14" fillId="4" borderId="12" xfId="0" applyNumberFormat="1" applyFont="1" applyFill="1" applyBorder="1" applyAlignment="1">
      <alignment horizontal="center" vertical="center"/>
    </xf>
    <xf numFmtId="167" fontId="14" fillId="4" borderId="13" xfId="0" applyNumberFormat="1" applyFont="1" applyFill="1" applyBorder="1" applyAlignment="1">
      <alignment horizontal="center" vertical="center"/>
    </xf>
    <xf numFmtId="0" fontId="15" fillId="2" borderId="11" xfId="0" applyFont="1" applyFill="1" applyBorder="1" applyAlignment="1">
      <alignment horizontal="center" vertical="center" shrinkToFit="1"/>
    </xf>
    <xf numFmtId="0" fontId="15" fillId="2" borderId="8" xfId="0" applyFont="1" applyFill="1" applyBorder="1" applyAlignment="1">
      <alignment horizontal="center" vertical="center" shrinkToFit="1"/>
    </xf>
    <xf numFmtId="0" fontId="15" fillId="2" borderId="9" xfId="0" applyFont="1" applyFill="1" applyBorder="1" applyAlignment="1">
      <alignment horizontal="center" vertical="center" shrinkToFit="1"/>
    </xf>
    <xf numFmtId="0" fontId="12" fillId="0" borderId="0" xfId="0" applyFont="1"/>
    <xf numFmtId="0" fontId="12" fillId="0" borderId="0" xfId="0" applyFont="1" applyAlignment="1">
      <alignment wrapText="1"/>
    </xf>
    <xf numFmtId="0" fontId="4" fillId="0" borderId="3"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18" fillId="0" borderId="0" xfId="6" applyFont="1" applyAlignment="1">
      <alignment horizontal="left" vertical="center" indent="1"/>
    </xf>
    <xf numFmtId="0" fontId="18" fillId="0" borderId="0" xfId="7" applyFont="1" applyAlignment="1">
      <alignment horizontal="left" vertical="center" indent="1"/>
    </xf>
    <xf numFmtId="0" fontId="19" fillId="0" borderId="0" xfId="5" applyFont="1" applyAlignment="1">
      <alignment horizontal="left"/>
    </xf>
    <xf numFmtId="0" fontId="0" fillId="0" borderId="4" xfId="0" applyBorder="1" applyAlignment="1">
      <alignment vertical="center"/>
    </xf>
    <xf numFmtId="0" fontId="0" fillId="0" borderId="5" xfId="0" applyBorder="1" applyAlignment="1">
      <alignment vertical="center"/>
    </xf>
    <xf numFmtId="0" fontId="0" fillId="2" borderId="0" xfId="0" applyFill="1" applyAlignment="1">
      <alignment vertical="center"/>
    </xf>
    <xf numFmtId="0" fontId="0" fillId="5" borderId="0" xfId="0" applyFill="1" applyAlignment="1">
      <alignment vertical="center"/>
    </xf>
    <xf numFmtId="0" fontId="13" fillId="3" borderId="0" xfId="0" applyFont="1" applyFill="1" applyAlignment="1">
      <alignment horizontal="center" vertical="center"/>
    </xf>
    <xf numFmtId="0" fontId="4" fillId="2" borderId="0" xfId="0" applyFont="1" applyFill="1"/>
    <xf numFmtId="0" fontId="4" fillId="6" borderId="6" xfId="0" applyFont="1" applyFill="1" applyBorder="1" applyAlignment="1">
      <alignment vertical="center"/>
    </xf>
    <xf numFmtId="0" fontId="0" fillId="6" borderId="6" xfId="0" applyFill="1" applyBorder="1" applyAlignment="1">
      <alignment vertical="center"/>
    </xf>
    <xf numFmtId="0" fontId="0" fillId="7" borderId="6" xfId="0" applyFill="1" applyBorder="1" applyAlignment="1">
      <alignment vertical="center"/>
    </xf>
    <xf numFmtId="0" fontId="4" fillId="0" borderId="16" xfId="0" applyFont="1" applyBorder="1" applyAlignment="1">
      <alignment vertical="center"/>
    </xf>
    <xf numFmtId="0" fontId="4" fillId="0" borderId="17" xfId="0" applyFont="1" applyBorder="1" applyAlignment="1">
      <alignment vertical="center"/>
    </xf>
    <xf numFmtId="0" fontId="4" fillId="2" borderId="15" xfId="0" applyFont="1" applyFill="1" applyBorder="1"/>
    <xf numFmtId="0" fontId="20" fillId="0" borderId="0" xfId="5" applyFont="1" applyAlignment="1">
      <alignment horizontal="left"/>
    </xf>
    <xf numFmtId="0" fontId="21" fillId="0" borderId="0" xfId="6" applyFont="1" applyAlignment="1">
      <alignment horizontal="left" vertical="center" indent="1"/>
    </xf>
    <xf numFmtId="0" fontId="23" fillId="0" borderId="0" xfId="0" applyFont="1"/>
    <xf numFmtId="0" fontId="22" fillId="0" borderId="0" xfId="0" applyFont="1"/>
    <xf numFmtId="0" fontId="0" fillId="2" borderId="18" xfId="0" applyFill="1" applyBorder="1" applyAlignment="1">
      <alignment vertical="center"/>
    </xf>
    <xf numFmtId="0" fontId="0" fillId="2" borderId="19" xfId="0" applyFill="1" applyBorder="1" applyAlignment="1">
      <alignment vertical="center"/>
    </xf>
    <xf numFmtId="0" fontId="4" fillId="6" borderId="0" xfId="0" applyFont="1" applyFill="1" applyAlignment="1">
      <alignment vertical="center"/>
    </xf>
    <xf numFmtId="0" fontId="4" fillId="0" borderId="21" xfId="0" applyFont="1" applyBorder="1" applyAlignment="1">
      <alignment vertical="center"/>
    </xf>
    <xf numFmtId="0" fontId="0" fillId="0" borderId="0" xfId="0" applyAlignment="1">
      <alignment wrapText="1"/>
    </xf>
    <xf numFmtId="0" fontId="30" fillId="0" borderId="0" xfId="0" applyFont="1" applyAlignment="1">
      <alignment horizontal="left" indent="1"/>
    </xf>
    <xf numFmtId="0" fontId="31" fillId="9" borderId="22"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31" fillId="9" borderId="22" xfId="0" applyFont="1" applyFill="1" applyBorder="1" applyAlignment="1">
      <alignment horizontal="center" vertical="center" wrapText="1"/>
    </xf>
    <xf numFmtId="0" fontId="32" fillId="0" borderId="0" xfId="0" applyFont="1" applyAlignment="1">
      <alignment horizontal="center" vertical="center"/>
    </xf>
    <xf numFmtId="0" fontId="33" fillId="0" borderId="0" xfId="0" applyFont="1" applyAlignment="1">
      <alignment wrapText="1"/>
    </xf>
    <xf numFmtId="0" fontId="34" fillId="0" borderId="0" xfId="0" applyFont="1"/>
    <xf numFmtId="0" fontId="4" fillId="0" borderId="16" xfId="0" applyFont="1" applyBorder="1" applyAlignment="1">
      <alignment horizontal="right" vertical="center"/>
    </xf>
    <xf numFmtId="0" fontId="4" fillId="0" borderId="0" xfId="0" applyFont="1" applyAlignment="1">
      <alignment horizontal="right" vertical="center"/>
    </xf>
    <xf numFmtId="0" fontId="3" fillId="7" borderId="6" xfId="0" applyFont="1" applyFill="1" applyBorder="1" applyAlignment="1">
      <alignment vertical="center"/>
    </xf>
    <xf numFmtId="0" fontId="3" fillId="0" borderId="0" xfId="0" applyFont="1" applyAlignment="1">
      <alignment vertical="center"/>
    </xf>
    <xf numFmtId="0" fontId="3" fillId="0" borderId="4" xfId="0" applyFont="1" applyBorder="1" applyAlignment="1">
      <alignment vertical="center"/>
    </xf>
    <xf numFmtId="0" fontId="17" fillId="5" borderId="0" xfId="0" applyFont="1" applyFill="1" applyAlignment="1">
      <alignment vertical="center"/>
    </xf>
    <xf numFmtId="0" fontId="0" fillId="5" borderId="0" xfId="0" applyFill="1"/>
    <xf numFmtId="0" fontId="0" fillId="5" borderId="0" xfId="0" applyFill="1" applyAlignment="1">
      <alignment horizontal="right" vertical="center"/>
    </xf>
    <xf numFmtId="0" fontId="25" fillId="11" borderId="19" xfId="0" applyFont="1" applyFill="1" applyBorder="1"/>
    <xf numFmtId="0" fontId="16" fillId="11" borderId="18" xfId="0" applyFont="1" applyFill="1" applyBorder="1" applyAlignment="1">
      <alignment horizontal="left" vertical="center" indent="1"/>
    </xf>
    <xf numFmtId="0" fontId="12" fillId="11" borderId="18" xfId="11" applyFont="1" applyFill="1" applyBorder="1" applyAlignment="1">
      <alignment vertical="center"/>
    </xf>
    <xf numFmtId="9" fontId="1" fillId="11" borderId="18" xfId="2" applyFont="1" applyFill="1" applyBorder="1" applyAlignment="1">
      <alignment horizontal="center" vertical="center"/>
    </xf>
    <xf numFmtId="164" fontId="12" fillId="11" borderId="18" xfId="0" applyNumberFormat="1" applyFont="1" applyFill="1" applyBorder="1" applyAlignment="1">
      <alignment horizontal="center" vertical="center"/>
    </xf>
    <xf numFmtId="164" fontId="1" fillId="11" borderId="0" xfId="0" applyNumberFormat="1" applyFont="1" applyFill="1" applyAlignment="1">
      <alignment horizontal="center" vertical="center"/>
    </xf>
    <xf numFmtId="164" fontId="12" fillId="11" borderId="0" xfId="10" applyFont="1" applyFill="1" applyBorder="1">
      <alignment horizontal="center" vertical="center"/>
    </xf>
    <xf numFmtId="0" fontId="26" fillId="12" borderId="18" xfId="11" applyFont="1" applyFill="1" applyBorder="1" applyAlignment="1">
      <alignment vertical="center"/>
    </xf>
    <xf numFmtId="9" fontId="27" fillId="12" borderId="18" xfId="2" applyFont="1" applyFill="1" applyBorder="1" applyAlignment="1">
      <alignment horizontal="center" vertical="center"/>
    </xf>
    <xf numFmtId="164" fontId="26" fillId="12" borderId="18" xfId="10" applyFont="1" applyFill="1" applyBorder="1">
      <alignment horizontal="center" vertical="center"/>
    </xf>
    <xf numFmtId="164" fontId="26" fillId="12" borderId="18" xfId="0" applyNumberFormat="1" applyFont="1" applyFill="1" applyBorder="1" applyAlignment="1">
      <alignment horizontal="center" vertical="center"/>
    </xf>
    <xf numFmtId="164" fontId="27" fillId="12" borderId="18" xfId="0" applyNumberFormat="1" applyFont="1" applyFill="1" applyBorder="1" applyAlignment="1">
      <alignment horizontal="center" vertical="center"/>
    </xf>
    <xf numFmtId="0" fontId="26" fillId="10" borderId="18" xfId="11" applyFont="1" applyFill="1" applyBorder="1" applyAlignment="1">
      <alignment vertical="center"/>
    </xf>
    <xf numFmtId="9" fontId="27" fillId="10" borderId="18" xfId="2" applyFont="1" applyFill="1" applyBorder="1" applyAlignment="1">
      <alignment horizontal="center" vertical="center"/>
    </xf>
    <xf numFmtId="164" fontId="26" fillId="10" borderId="18" xfId="10" applyFont="1" applyFill="1" applyBorder="1">
      <alignment horizontal="center" vertical="center"/>
    </xf>
    <xf numFmtId="164" fontId="27" fillId="10" borderId="18" xfId="0" applyNumberFormat="1" applyFont="1" applyFill="1" applyBorder="1" applyAlignment="1">
      <alignment horizontal="center" vertical="center"/>
    </xf>
    <xf numFmtId="0" fontId="26" fillId="13" borderId="18" xfId="11" applyFont="1" applyFill="1" applyBorder="1" applyAlignment="1">
      <alignment vertical="center"/>
    </xf>
    <xf numFmtId="9" fontId="27" fillId="13" borderId="18" xfId="2" applyFont="1" applyFill="1" applyBorder="1" applyAlignment="1">
      <alignment horizontal="center" vertical="center"/>
    </xf>
    <xf numFmtId="164" fontId="26" fillId="13" borderId="18" xfId="10" applyFont="1" applyFill="1" applyBorder="1">
      <alignment horizontal="center" vertical="center"/>
    </xf>
    <xf numFmtId="164" fontId="26" fillId="13" borderId="18" xfId="0" applyNumberFormat="1" applyFont="1" applyFill="1" applyBorder="1" applyAlignment="1">
      <alignment horizontal="center" vertical="center"/>
    </xf>
    <xf numFmtId="164" fontId="27" fillId="13" borderId="18" xfId="0" applyNumberFormat="1" applyFont="1" applyFill="1" applyBorder="1" applyAlignment="1">
      <alignment horizontal="center" vertical="center"/>
    </xf>
    <xf numFmtId="0" fontId="26" fillId="14" borderId="18" xfId="11" applyFont="1" applyFill="1" applyBorder="1" applyAlignment="1">
      <alignment vertical="center"/>
    </xf>
    <xf numFmtId="9" fontId="27" fillId="14" borderId="18" xfId="2" applyFont="1" applyFill="1" applyBorder="1" applyAlignment="1">
      <alignment horizontal="center" vertical="center"/>
    </xf>
    <xf numFmtId="164" fontId="26" fillId="14" borderId="18" xfId="10" applyFont="1" applyFill="1" applyBorder="1">
      <alignment horizontal="center" vertical="center"/>
    </xf>
    <xf numFmtId="164" fontId="26" fillId="14" borderId="18" xfId="0" applyNumberFormat="1" applyFont="1" applyFill="1" applyBorder="1" applyAlignment="1">
      <alignment horizontal="center" vertical="center"/>
    </xf>
    <xf numFmtId="164" fontId="27" fillId="14" borderId="18" xfId="0" applyNumberFormat="1" applyFont="1" applyFill="1" applyBorder="1" applyAlignment="1">
      <alignment horizontal="center" vertical="center"/>
    </xf>
    <xf numFmtId="164" fontId="29" fillId="10" borderId="18" xfId="0" applyNumberFormat="1" applyFont="1" applyFill="1" applyBorder="1" applyAlignment="1">
      <alignment horizontal="left" vertical="center"/>
    </xf>
    <xf numFmtId="0" fontId="28" fillId="10" borderId="20" xfId="0" applyFont="1" applyFill="1" applyBorder="1" applyAlignment="1">
      <alignment vertical="center"/>
    </xf>
    <xf numFmtId="0" fontId="26" fillId="12" borderId="26" xfId="0" applyFont="1" applyFill="1" applyBorder="1" applyAlignment="1">
      <alignment wrapText="1"/>
    </xf>
    <xf numFmtId="0" fontId="26" fillId="13" borderId="27" xfId="0" applyFont="1" applyFill="1" applyBorder="1" applyAlignment="1">
      <alignment horizontal="center" vertical="center" wrapText="1"/>
    </xf>
    <xf numFmtId="0" fontId="26" fillId="13" borderId="25" xfId="0" applyFont="1" applyFill="1" applyBorder="1" applyAlignment="1">
      <alignment wrapText="1"/>
    </xf>
    <xf numFmtId="0" fontId="26" fillId="11" borderId="22" xfId="0" applyFont="1" applyFill="1" applyBorder="1" applyAlignment="1">
      <alignment wrapText="1"/>
    </xf>
    <xf numFmtId="0" fontId="3" fillId="0" borderId="29" xfId="0" applyFont="1" applyBorder="1" applyAlignment="1">
      <alignment horizontal="center" vertical="center"/>
    </xf>
    <xf numFmtId="0" fontId="26" fillId="11" borderId="0" xfId="11" applyFont="1" applyFill="1" applyBorder="1" applyAlignment="1">
      <alignment vertical="center"/>
    </xf>
    <xf numFmtId="9" fontId="27" fillId="11" borderId="0" xfId="2" applyFont="1" applyFill="1" applyBorder="1" applyAlignment="1">
      <alignment horizontal="center" vertical="center"/>
    </xf>
    <xf numFmtId="164" fontId="26" fillId="11" borderId="0" xfId="10" applyFont="1" applyFill="1" applyBorder="1">
      <alignment horizontal="center" vertical="center"/>
    </xf>
    <xf numFmtId="0" fontId="26" fillId="11" borderId="30" xfId="0" applyFont="1" applyFill="1" applyBorder="1" applyAlignment="1">
      <alignment wrapText="1"/>
    </xf>
    <xf numFmtId="0" fontId="3" fillId="0" borderId="31" xfId="0" applyFont="1" applyBorder="1" applyAlignment="1">
      <alignment horizontal="center" vertical="center"/>
    </xf>
    <xf numFmtId="0" fontId="4" fillId="0" borderId="32" xfId="0" applyFont="1" applyBorder="1" applyAlignment="1">
      <alignment vertical="center"/>
    </xf>
    <xf numFmtId="0" fontId="4" fillId="0" borderId="33" xfId="0" applyFont="1" applyBorder="1" applyAlignment="1">
      <alignment vertical="center"/>
    </xf>
    <xf numFmtId="0" fontId="3" fillId="0" borderId="33" xfId="0" applyFont="1" applyBorder="1" applyAlignment="1">
      <alignment vertical="center"/>
    </xf>
    <xf numFmtId="0" fontId="0" fillId="0" borderId="21" xfId="0" applyBorder="1" applyAlignment="1">
      <alignment vertical="center"/>
    </xf>
    <xf numFmtId="0" fontId="26" fillId="13" borderId="19" xfId="0" applyFont="1" applyFill="1" applyBorder="1" applyAlignment="1">
      <alignment horizontal="center" vertical="center" wrapText="1"/>
    </xf>
    <xf numFmtId="0" fontId="0" fillId="0" borderId="0" xfId="0" applyAlignment="1">
      <alignment vertical="center"/>
    </xf>
    <xf numFmtId="0" fontId="0" fillId="0" borderId="38" xfId="0" applyBorder="1" applyAlignment="1">
      <alignment vertical="center"/>
    </xf>
    <xf numFmtId="0" fontId="0" fillId="0" borderId="32" xfId="0" applyBorder="1" applyAlignment="1">
      <alignment vertical="center"/>
    </xf>
    <xf numFmtId="164" fontId="26" fillId="11" borderId="39" xfId="10" applyFont="1" applyFill="1" applyBorder="1">
      <alignment horizontal="center" vertical="center"/>
    </xf>
    <xf numFmtId="164" fontId="26" fillId="11" borderId="34" xfId="10" applyFont="1" applyFill="1" applyBorder="1">
      <alignment horizontal="center" vertical="center"/>
    </xf>
    <xf numFmtId="0" fontId="26" fillId="13" borderId="41" xfId="0" applyFont="1" applyFill="1" applyBorder="1" applyAlignment="1">
      <alignment wrapText="1"/>
    </xf>
    <xf numFmtId="0" fontId="26" fillId="13" borderId="24" xfId="11" applyFont="1" applyFill="1" applyBorder="1" applyAlignment="1">
      <alignment vertical="center"/>
    </xf>
    <xf numFmtId="0" fontId="26" fillId="13" borderId="42" xfId="11" applyFont="1" applyFill="1" applyBorder="1" applyAlignment="1">
      <alignment vertical="center"/>
    </xf>
    <xf numFmtId="0" fontId="26" fillId="12" borderId="40" xfId="0" applyFont="1" applyFill="1" applyBorder="1" applyAlignment="1">
      <alignment wrapText="1"/>
    </xf>
    <xf numFmtId="0" fontId="26" fillId="12" borderId="40" xfId="0" applyFont="1" applyFill="1" applyBorder="1" applyAlignment="1">
      <alignment vertical="center" wrapText="1"/>
    </xf>
    <xf numFmtId="0" fontId="26" fillId="10" borderId="25" xfId="0" applyFont="1" applyFill="1" applyBorder="1" applyAlignment="1">
      <alignment wrapText="1"/>
    </xf>
    <xf numFmtId="164" fontId="26" fillId="11" borderId="43" xfId="10" applyFont="1" applyFill="1" applyBorder="1">
      <alignment horizontal="center" vertical="center"/>
    </xf>
    <xf numFmtId="164" fontId="26" fillId="11" borderId="35" xfId="10" applyFont="1" applyFill="1" applyBorder="1">
      <alignment horizontal="center" vertical="center"/>
    </xf>
    <xf numFmtId="0" fontId="26" fillId="11" borderId="30" xfId="0" applyFont="1" applyFill="1" applyBorder="1" applyAlignment="1">
      <alignment horizontal="center" vertical="center" wrapText="1"/>
    </xf>
    <xf numFmtId="0" fontId="26" fillId="11" borderId="44" xfId="0" applyFont="1" applyFill="1" applyBorder="1" applyAlignment="1">
      <alignment wrapText="1"/>
    </xf>
    <xf numFmtId="0" fontId="26" fillId="11" borderId="45" xfId="11" applyFont="1" applyFill="1" applyBorder="1" applyAlignment="1">
      <alignment vertical="center"/>
    </xf>
    <xf numFmtId="9" fontId="27" fillId="11" borderId="36" xfId="2" applyFont="1" applyFill="1" applyBorder="1" applyAlignment="1">
      <alignment horizontal="center" vertical="center"/>
    </xf>
    <xf numFmtId="164" fontId="26" fillId="11" borderId="36" xfId="10" applyFont="1" applyFill="1" applyBorder="1">
      <alignment horizontal="center" vertical="center"/>
    </xf>
    <xf numFmtId="0" fontId="26" fillId="11" borderId="46" xfId="11" applyFont="1" applyFill="1" applyBorder="1" applyAlignment="1">
      <alignment vertical="center"/>
    </xf>
    <xf numFmtId="0" fontId="26" fillId="11" borderId="23" xfId="11" applyFont="1" applyFill="1" applyBorder="1" applyAlignment="1">
      <alignment vertical="center"/>
    </xf>
    <xf numFmtId="0" fontId="26" fillId="12" borderId="26" xfId="0" applyFont="1" applyFill="1" applyBorder="1" applyAlignment="1">
      <alignment horizontal="left" wrapText="1"/>
    </xf>
    <xf numFmtId="0" fontId="26" fillId="14" borderId="47" xfId="0" applyFont="1" applyFill="1" applyBorder="1" applyAlignment="1">
      <alignment wrapText="1"/>
    </xf>
    <xf numFmtId="0" fontId="26" fillId="14" borderId="30" xfId="0" applyFont="1" applyFill="1" applyBorder="1" applyAlignment="1">
      <alignment wrapText="1"/>
    </xf>
    <xf numFmtId="0" fontId="26" fillId="10" borderId="18" xfId="0" applyFont="1" applyFill="1" applyBorder="1" applyAlignment="1">
      <alignment vertical="center"/>
    </xf>
    <xf numFmtId="0" fontId="26" fillId="10" borderId="20" xfId="0" applyFont="1" applyFill="1" applyBorder="1" applyAlignment="1">
      <alignment vertical="center"/>
    </xf>
    <xf numFmtId="0" fontId="26" fillId="10" borderId="26" xfId="0" applyFont="1" applyFill="1" applyBorder="1" applyAlignment="1">
      <alignment horizontal="center" vertical="center" wrapText="1"/>
    </xf>
    <xf numFmtId="0" fontId="26" fillId="14" borderId="22" xfId="0" applyFont="1" applyFill="1" applyBorder="1" applyAlignment="1">
      <alignment wrapText="1"/>
    </xf>
    <xf numFmtId="0" fontId="0" fillId="0" borderId="16" xfId="0" applyBorder="1" applyAlignment="1">
      <alignment vertical="center"/>
    </xf>
    <xf numFmtId="0" fontId="25" fillId="0" borderId="0" xfId="0" applyFont="1" applyAlignment="1">
      <alignment horizontal="center" vertical="center"/>
    </xf>
    <xf numFmtId="0" fontId="26" fillId="14" borderId="19" xfId="0" applyFont="1" applyFill="1" applyBorder="1" applyAlignment="1">
      <alignment horizontal="center" vertical="center" wrapText="1"/>
    </xf>
    <xf numFmtId="0" fontId="26" fillId="10" borderId="40" xfId="0" applyFont="1" applyFill="1" applyBorder="1" applyAlignment="1">
      <alignment horizontal="center" vertical="center" wrapText="1"/>
    </xf>
    <xf numFmtId="0" fontId="25" fillId="8" borderId="0" xfId="0" applyFont="1" applyFill="1"/>
    <xf numFmtId="0" fontId="25" fillId="8" borderId="0" xfId="0" applyFont="1" applyFill="1" applyAlignment="1">
      <alignment wrapText="1"/>
    </xf>
    <xf numFmtId="0" fontId="26" fillId="10" borderId="26" xfId="0" applyFont="1" applyFill="1" applyBorder="1" applyAlignment="1">
      <alignment horizontal="center" vertical="center" wrapText="1"/>
    </xf>
    <xf numFmtId="0" fontId="26" fillId="10" borderId="27" xfId="0" applyFont="1" applyFill="1" applyBorder="1" applyAlignment="1">
      <alignment horizontal="center" vertical="center" wrapText="1"/>
    </xf>
    <xf numFmtId="0" fontId="26" fillId="10" borderId="28" xfId="0" applyFont="1" applyFill="1" applyBorder="1" applyAlignment="1">
      <alignment horizontal="center" vertical="center" wrapText="1"/>
    </xf>
    <xf numFmtId="0" fontId="26" fillId="14" borderId="48" xfId="0" applyFont="1" applyFill="1" applyBorder="1" applyAlignment="1">
      <alignment horizontal="center" vertical="center" wrapText="1"/>
    </xf>
    <xf numFmtId="0" fontId="26" fillId="14" borderId="49" xfId="0" applyFont="1" applyFill="1" applyBorder="1" applyAlignment="1">
      <alignment horizontal="center" vertical="center" wrapText="1"/>
    </xf>
    <xf numFmtId="0" fontId="26" fillId="14" borderId="50" xfId="0" applyFont="1" applyFill="1" applyBorder="1" applyAlignment="1">
      <alignment horizontal="center" vertical="center" wrapText="1"/>
    </xf>
    <xf numFmtId="0" fontId="26" fillId="12" borderId="26" xfId="0" applyFont="1" applyFill="1" applyBorder="1" applyAlignment="1">
      <alignment horizontal="center" vertical="center" wrapText="1"/>
    </xf>
    <xf numFmtId="0" fontId="26" fillId="11" borderId="19" xfId="0" applyFont="1" applyFill="1" applyBorder="1" applyAlignment="1">
      <alignment horizontal="center" vertical="center" wrapText="1"/>
    </xf>
    <xf numFmtId="0" fontId="26" fillId="11" borderId="26" xfId="0" applyFont="1" applyFill="1" applyBorder="1" applyAlignment="1">
      <alignment horizontal="center" vertical="center" wrapText="1"/>
    </xf>
    <xf numFmtId="0" fontId="26" fillId="13" borderId="26" xfId="0" applyFont="1" applyFill="1" applyBorder="1" applyAlignment="1">
      <alignment horizontal="center" vertical="center" wrapText="1"/>
    </xf>
    <xf numFmtId="0" fontId="26" fillId="14" borderId="26" xfId="0" applyFont="1" applyFill="1" applyBorder="1" applyAlignment="1">
      <alignment horizontal="center" vertical="center" wrapText="1"/>
    </xf>
    <xf numFmtId="0" fontId="26" fillId="13" borderId="19" xfId="0" applyFont="1" applyFill="1" applyBorder="1" applyAlignment="1">
      <alignment horizontal="center" vertical="center" wrapText="1"/>
    </xf>
    <xf numFmtId="0" fontId="26" fillId="13" borderId="27" xfId="0" applyFont="1" applyFill="1" applyBorder="1" applyAlignment="1">
      <alignment horizontal="center" vertical="center" wrapText="1"/>
    </xf>
    <xf numFmtId="0" fontId="26" fillId="13" borderId="28" xfId="0" applyFont="1" applyFill="1" applyBorder="1" applyAlignment="1">
      <alignment horizontal="center" vertical="center" wrapText="1"/>
    </xf>
    <xf numFmtId="0" fontId="26" fillId="12" borderId="19" xfId="0" applyFont="1" applyFill="1" applyBorder="1" applyAlignment="1">
      <alignment horizontal="center" vertical="center" wrapText="1"/>
    </xf>
    <xf numFmtId="0" fontId="26" fillId="12" borderId="23" xfId="0" applyFont="1" applyFill="1" applyBorder="1" applyAlignment="1">
      <alignment horizontal="center" vertical="center" wrapText="1"/>
    </xf>
    <xf numFmtId="0" fontId="26" fillId="12" borderId="24" xfId="0" applyFont="1" applyFill="1" applyBorder="1" applyAlignment="1">
      <alignment horizontal="center" vertical="center" wrapText="1"/>
    </xf>
    <xf numFmtId="0" fontId="26" fillId="11" borderId="37" xfId="0" applyFont="1" applyFill="1" applyBorder="1" applyAlignment="1">
      <alignment horizontal="center" vertical="center" wrapText="1"/>
    </xf>
    <xf numFmtId="0" fontId="26" fillId="11" borderId="35" xfId="0" applyFont="1" applyFill="1" applyBorder="1" applyAlignment="1">
      <alignment horizontal="center" vertical="center" wrapText="1"/>
    </xf>
    <xf numFmtId="0" fontId="26" fillId="11" borderId="26" xfId="0" applyFont="1" applyFill="1" applyBorder="1" applyAlignment="1">
      <alignment horizontal="center" vertical="center"/>
    </xf>
    <xf numFmtId="0" fontId="26" fillId="13" borderId="26" xfId="0" applyFont="1" applyFill="1" applyBorder="1" applyAlignment="1">
      <alignment horizontal="center" vertical="center"/>
    </xf>
    <xf numFmtId="0" fontId="26" fillId="12" borderId="26" xfId="0" applyFont="1" applyFill="1" applyBorder="1" applyAlignment="1">
      <alignment horizontal="center" vertical="center"/>
    </xf>
    <xf numFmtId="0" fontId="26" fillId="14" borderId="26" xfId="0" applyFont="1" applyFill="1" applyBorder="1" applyAlignment="1">
      <alignment horizontal="center" vertical="center"/>
    </xf>
    <xf numFmtId="0" fontId="26" fillId="10" borderId="26" xfId="0" applyFont="1" applyFill="1" applyBorder="1" applyAlignment="1">
      <alignment horizontal="center" vertical="center"/>
    </xf>
    <xf numFmtId="0" fontId="24" fillId="0" borderId="0" xfId="0" applyFont="1" applyAlignment="1">
      <alignment horizontal="left"/>
    </xf>
    <xf numFmtId="165" fontId="24" fillId="0" borderId="0" xfId="9" applyFont="1" applyBorder="1" applyAlignment="1">
      <alignment horizontal="left"/>
    </xf>
    <xf numFmtId="0" fontId="21" fillId="0" borderId="0" xfId="8" applyFont="1" applyAlignment="1">
      <alignment horizontal="left"/>
    </xf>
    <xf numFmtId="166" fontId="12" fillId="2" borderId="7" xfId="0" applyNumberFormat="1" applyFont="1" applyFill="1" applyBorder="1" applyAlignment="1">
      <alignment horizontal="center" vertical="center" wrapText="1"/>
    </xf>
    <xf numFmtId="166" fontId="12" fillId="2" borderId="12" xfId="0" applyNumberFormat="1" applyFont="1" applyFill="1" applyBorder="1" applyAlignment="1">
      <alignment horizontal="center" vertical="center" wrapText="1"/>
    </xf>
    <xf numFmtId="0" fontId="13" fillId="3" borderId="10" xfId="0" applyFont="1" applyFill="1" applyBorder="1" applyAlignment="1">
      <alignment horizontal="left" vertical="center" indent="1"/>
    </xf>
    <xf numFmtId="0" fontId="13" fillId="3" borderId="10" xfId="0" applyFont="1" applyFill="1" applyBorder="1" applyAlignment="1">
      <alignment vertical="center"/>
    </xf>
    <xf numFmtId="0" fontId="13" fillId="3" borderId="10" xfId="0" applyFont="1" applyFill="1" applyBorder="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43">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2"/>
      <tableStyleElement type="headerRow" dxfId="41"/>
      <tableStyleElement type="totalRow" dxfId="40"/>
      <tableStyleElement type="firstColumn" dxfId="39"/>
      <tableStyleElement type="lastColumn" dxfId="38"/>
      <tableStyleElement type="firstRowStripe" dxfId="37"/>
      <tableStyleElement type="secondRowStripe" dxfId="36"/>
      <tableStyleElement type="firstColumnStripe" dxfId="35"/>
      <tableStyleElement type="secondColumnStripe" dxfId="3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B050"/>
      <color rgb="FFC1A9FC"/>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L56"/>
  <sheetViews>
    <sheetView showGridLines="0" tabSelected="1" showRuler="0" view="pageBreakPreview" zoomScale="68" zoomScaleNormal="80" zoomScalePageLayoutView="70" workbookViewId="0">
      <selection activeCell="O40" sqref="O40"/>
    </sheetView>
  </sheetViews>
  <sheetFormatPr defaultColWidth="8.75" defaultRowHeight="30" customHeight="1"/>
  <cols>
    <col min="1" max="1" width="54.375" style="5" customWidth="1"/>
    <col min="2" max="2" width="28.5" customWidth="1"/>
    <col min="3" max="3" width="20.875" customWidth="1"/>
    <col min="4" max="4" width="10.75" customWidth="1"/>
    <col min="5" max="5" width="10.75" style="2" customWidth="1"/>
    <col min="6" max="6" width="24.25" customWidth="1"/>
    <col min="7" max="7" width="25.125" customWidth="1"/>
    <col min="8" max="8" width="24.25" customWidth="1"/>
    <col min="9" max="9" width="2.75" customWidth="1"/>
    <col min="10" max="10" width="6" hidden="1" customWidth="1"/>
    <col min="11" max="192" width="2.75" customWidth="1"/>
  </cols>
  <sheetData>
    <row r="1" spans="1:194" ht="73.5" customHeight="1">
      <c r="A1" s="46" t="s">
        <v>0</v>
      </c>
      <c r="B1" s="33"/>
      <c r="C1" s="7"/>
      <c r="D1" s="8"/>
      <c r="E1" s="9"/>
      <c r="F1" s="10"/>
      <c r="G1" s="10"/>
      <c r="H1" s="10"/>
      <c r="J1" s="1"/>
      <c r="K1" s="173" t="s">
        <v>1</v>
      </c>
      <c r="L1" s="173"/>
      <c r="M1" s="173"/>
      <c r="N1" s="173"/>
      <c r="O1" s="173"/>
      <c r="P1" s="173"/>
      <c r="Q1" s="173"/>
      <c r="R1" s="48"/>
      <c r="S1" s="172">
        <f ca="1">TODAY()</f>
        <v>45984</v>
      </c>
      <c r="T1" s="172"/>
      <c r="U1" s="172"/>
      <c r="V1" s="172"/>
      <c r="W1" s="172"/>
      <c r="X1" s="172"/>
      <c r="Y1" s="172"/>
      <c r="Z1" s="172"/>
      <c r="AA1" s="172"/>
      <c r="AB1" s="172"/>
      <c r="AC1" s="49"/>
      <c r="AD1" s="49"/>
      <c r="AE1" s="173" t="s">
        <v>2</v>
      </c>
      <c r="AF1" s="173"/>
      <c r="AG1" s="173"/>
      <c r="AH1" s="173"/>
      <c r="AI1" s="173"/>
      <c r="AJ1" s="173"/>
      <c r="AK1" s="173"/>
      <c r="AL1" s="49"/>
      <c r="AM1" s="172">
        <f>DATE(2026,4,1)</f>
        <v>46113</v>
      </c>
      <c r="AN1" s="172"/>
      <c r="AO1" s="172"/>
      <c r="AP1" s="172"/>
      <c r="AQ1" s="172"/>
      <c r="AR1" s="172"/>
      <c r="AS1" s="172"/>
      <c r="AT1" s="172"/>
      <c r="AU1" s="172"/>
      <c r="AV1" s="172"/>
    </row>
    <row r="2" spans="1:194" ht="30" customHeight="1">
      <c r="A2" s="47" t="s">
        <v>3</v>
      </c>
      <c r="B2" s="31"/>
      <c r="C2" s="32"/>
      <c r="D2" s="11"/>
      <c r="E2" s="12"/>
      <c r="F2" s="11"/>
      <c r="G2" s="11"/>
      <c r="H2" s="11"/>
      <c r="K2" s="173" t="s">
        <v>4</v>
      </c>
      <c r="L2" s="173"/>
      <c r="M2" s="173"/>
      <c r="N2" s="173"/>
      <c r="O2" s="173"/>
      <c r="P2" s="173"/>
      <c r="Q2" s="173"/>
      <c r="R2" s="48"/>
      <c r="S2" s="171">
        <v>-1</v>
      </c>
      <c r="T2" s="171"/>
      <c r="U2" s="171"/>
      <c r="V2" s="171"/>
      <c r="W2" s="171"/>
      <c r="X2" s="171"/>
      <c r="Y2" s="171"/>
      <c r="Z2" s="171"/>
      <c r="AA2" s="171"/>
      <c r="AB2" s="171"/>
      <c r="AC2" s="49"/>
      <c r="AD2" s="49"/>
      <c r="AE2" s="49"/>
      <c r="AF2" s="49"/>
      <c r="AG2" s="49"/>
      <c r="AH2" s="49"/>
      <c r="AI2" s="49"/>
      <c r="AJ2" s="49"/>
      <c r="AK2" s="49"/>
      <c r="AL2" s="49"/>
      <c r="AM2" s="49"/>
      <c r="AN2" s="49"/>
      <c r="AO2" s="49"/>
      <c r="AP2" s="49"/>
      <c r="AQ2" s="49"/>
      <c r="AR2" s="49"/>
      <c r="AS2" s="49"/>
      <c r="AT2" s="49"/>
      <c r="AU2" s="49"/>
      <c r="AV2" s="49"/>
    </row>
    <row r="3" spans="1:194" s="14" customFormat="1" ht="30" customHeight="1">
      <c r="A3" s="55" t="s">
        <v>5</v>
      </c>
      <c r="B3" s="13"/>
      <c r="D3" s="15"/>
      <c r="E3" s="16"/>
      <c r="I3"/>
    </row>
    <row r="4" spans="1:194" s="14" customFormat="1" ht="30" customHeight="1">
      <c r="A4" s="6"/>
      <c r="B4" s="17"/>
      <c r="D4" s="18"/>
      <c r="F4"/>
      <c r="G4"/>
      <c r="H4"/>
      <c r="I4" s="51"/>
      <c r="K4" s="175">
        <f ca="1">M5</f>
        <v>45971</v>
      </c>
      <c r="L4" s="175"/>
      <c r="M4" s="175"/>
      <c r="N4" s="175"/>
      <c r="O4" s="175"/>
      <c r="P4" s="175"/>
      <c r="Q4" s="175"/>
      <c r="R4" s="174">
        <f ca="1">T5</f>
        <v>45978</v>
      </c>
      <c r="S4" s="174"/>
      <c r="T4" s="174"/>
      <c r="U4" s="174"/>
      <c r="V4" s="174"/>
      <c r="W4" s="174"/>
      <c r="X4" s="174"/>
      <c r="Y4" s="174">
        <f ca="1">AA5</f>
        <v>45985</v>
      </c>
      <c r="Z4" s="174"/>
      <c r="AA4" s="174"/>
      <c r="AB4" s="174"/>
      <c r="AC4" s="174"/>
      <c r="AD4" s="174"/>
      <c r="AE4" s="174"/>
      <c r="AF4" s="174">
        <f ca="1">AH5</f>
        <v>45992</v>
      </c>
      <c r="AG4" s="174"/>
      <c r="AH4" s="174"/>
      <c r="AI4" s="174"/>
      <c r="AJ4" s="174"/>
      <c r="AK4" s="174"/>
      <c r="AL4" s="174"/>
      <c r="AM4" s="174">
        <f ca="1">AO5</f>
        <v>45999</v>
      </c>
      <c r="AN4" s="174"/>
      <c r="AO4" s="174"/>
      <c r="AP4" s="174"/>
      <c r="AQ4" s="174"/>
      <c r="AR4" s="174"/>
      <c r="AS4" s="174"/>
      <c r="AT4" s="174">
        <f ca="1">AV5</f>
        <v>46006</v>
      </c>
      <c r="AU4" s="174"/>
      <c r="AV4" s="174"/>
      <c r="AW4" s="174"/>
      <c r="AX4" s="174"/>
      <c r="AY4" s="174"/>
      <c r="AZ4" s="174"/>
      <c r="BA4" s="174">
        <f ca="1">BC5</f>
        <v>46013</v>
      </c>
      <c r="BB4" s="174"/>
      <c r="BC4" s="174"/>
      <c r="BD4" s="174"/>
      <c r="BE4" s="174"/>
      <c r="BF4" s="174"/>
      <c r="BG4" s="174"/>
      <c r="BH4" s="174">
        <f ca="1">BJ5</f>
        <v>46020</v>
      </c>
      <c r="BI4" s="174"/>
      <c r="BJ4" s="174"/>
      <c r="BK4" s="174"/>
      <c r="BL4" s="174"/>
      <c r="BM4" s="174"/>
      <c r="BN4" s="174"/>
      <c r="BO4" s="174">
        <f ca="1">BQ5</f>
        <v>46027</v>
      </c>
      <c r="BP4" s="174"/>
      <c r="BQ4" s="174"/>
      <c r="BR4" s="174"/>
      <c r="BS4" s="174"/>
      <c r="BT4" s="174"/>
      <c r="BU4" s="174"/>
      <c r="BV4" s="174">
        <f ca="1">BX5</f>
        <v>46034</v>
      </c>
      <c r="BW4" s="174"/>
      <c r="BX4" s="174"/>
      <c r="BY4" s="174"/>
      <c r="BZ4" s="174"/>
      <c r="CA4" s="174"/>
      <c r="CB4" s="174"/>
      <c r="CC4" s="174">
        <f ca="1">CE5</f>
        <v>46041</v>
      </c>
      <c r="CD4" s="174"/>
      <c r="CE4" s="174"/>
      <c r="CF4" s="174"/>
      <c r="CG4" s="174"/>
      <c r="CH4" s="174"/>
      <c r="CI4" s="174"/>
      <c r="CJ4" s="174">
        <f ca="1">CL5</f>
        <v>46048</v>
      </c>
      <c r="CK4" s="174"/>
      <c r="CL4" s="174"/>
      <c r="CM4" s="174"/>
      <c r="CN4" s="174"/>
      <c r="CO4" s="174"/>
      <c r="CP4" s="174"/>
      <c r="CQ4" s="174">
        <f ca="1">CS5</f>
        <v>46055</v>
      </c>
      <c r="CR4" s="174"/>
      <c r="CS4" s="174"/>
      <c r="CT4" s="174"/>
      <c r="CU4" s="174"/>
      <c r="CV4" s="174"/>
      <c r="CW4" s="174"/>
      <c r="CX4" s="174">
        <f ca="1">CZ5</f>
        <v>46062</v>
      </c>
      <c r="CY4" s="174"/>
      <c r="CZ4" s="174"/>
      <c r="DA4" s="174"/>
      <c r="DB4" s="174"/>
      <c r="DC4" s="174"/>
      <c r="DD4" s="174"/>
      <c r="DE4" s="174">
        <f ca="1">DG5</f>
        <v>46069</v>
      </c>
      <c r="DF4" s="174"/>
      <c r="DG4" s="174"/>
      <c r="DH4" s="174"/>
      <c r="DI4" s="174"/>
      <c r="DJ4" s="174"/>
      <c r="DK4" s="174"/>
      <c r="DL4" s="174">
        <f ca="1">DN5</f>
        <v>46076</v>
      </c>
      <c r="DM4" s="174"/>
      <c r="DN4" s="174"/>
      <c r="DO4" s="174"/>
      <c r="DP4" s="174"/>
      <c r="DQ4" s="174"/>
      <c r="DR4" s="174"/>
      <c r="DS4" s="174">
        <f ca="1">DU5</f>
        <v>46083</v>
      </c>
      <c r="DT4" s="174"/>
      <c r="DU4" s="174"/>
      <c r="DV4" s="174"/>
      <c r="DW4" s="174"/>
      <c r="DX4" s="174"/>
      <c r="DY4" s="174"/>
      <c r="DZ4" s="174">
        <f ca="1">EB5</f>
        <v>46090</v>
      </c>
      <c r="EA4" s="174"/>
      <c r="EB4" s="174"/>
      <c r="EC4" s="174"/>
      <c r="ED4" s="174"/>
      <c r="EE4" s="174"/>
      <c r="EF4" s="174"/>
      <c r="EG4" s="174">
        <f ca="1">EI5</f>
        <v>46097</v>
      </c>
      <c r="EH4" s="174"/>
      <c r="EI4" s="174"/>
      <c r="EJ4" s="174"/>
      <c r="EK4" s="174"/>
      <c r="EL4" s="174"/>
      <c r="EM4" s="174"/>
      <c r="EN4" s="174">
        <f ca="1">EP5</f>
        <v>46104</v>
      </c>
      <c r="EO4" s="174"/>
      <c r="EP4" s="174"/>
      <c r="EQ4" s="174"/>
      <c r="ER4" s="174"/>
      <c r="ES4" s="174"/>
      <c r="ET4" s="174"/>
      <c r="EU4" s="174">
        <f ca="1">EW5</f>
        <v>46111</v>
      </c>
      <c r="EV4" s="174"/>
      <c r="EW4" s="174"/>
      <c r="EX4" s="174"/>
      <c r="EY4" s="174"/>
      <c r="EZ4" s="174"/>
      <c r="FA4" s="174"/>
      <c r="FB4" s="174">
        <f ca="1">FD5</f>
        <v>46118</v>
      </c>
      <c r="FC4" s="174"/>
      <c r="FD4" s="174"/>
      <c r="FE4" s="174"/>
      <c r="FF4" s="174"/>
      <c r="FG4" s="174"/>
      <c r="FH4" s="174"/>
      <c r="FI4" s="174">
        <f ca="1">FK5</f>
        <v>46125</v>
      </c>
      <c r="FJ4" s="174"/>
      <c r="FK4" s="174"/>
      <c r="FL4" s="174"/>
      <c r="FM4" s="174"/>
      <c r="FN4" s="174"/>
      <c r="FO4" s="174"/>
      <c r="FP4" s="174">
        <f ca="1">FR5</f>
        <v>46132</v>
      </c>
      <c r="FQ4" s="174"/>
      <c r="FR4" s="174"/>
      <c r="FS4" s="174"/>
      <c r="FT4" s="174"/>
      <c r="FU4" s="174"/>
      <c r="FV4" s="174"/>
      <c r="FW4" s="174">
        <f ca="1">FY5</f>
        <v>46139</v>
      </c>
      <c r="FX4" s="174"/>
      <c r="FY4" s="174"/>
      <c r="FZ4" s="174"/>
      <c r="GA4" s="174"/>
      <c r="GB4" s="174"/>
      <c r="GC4" s="174"/>
      <c r="GD4" s="174">
        <f ca="1">GF5</f>
        <v>46146</v>
      </c>
      <c r="GE4" s="174"/>
      <c r="GF4" s="174"/>
      <c r="GG4" s="174"/>
      <c r="GH4" s="174"/>
      <c r="GI4" s="174"/>
      <c r="GJ4" s="174"/>
    </row>
    <row r="5" spans="1:194" s="14" customFormat="1" ht="15" customHeight="1">
      <c r="A5" s="176" t="s">
        <v>6</v>
      </c>
      <c r="B5" s="176" t="s">
        <v>7</v>
      </c>
      <c r="C5" s="177" t="s">
        <v>8</v>
      </c>
      <c r="D5" s="178" t="s">
        <v>9</v>
      </c>
      <c r="E5" s="178" t="s">
        <v>10</v>
      </c>
      <c r="F5" s="178" t="s">
        <v>11</v>
      </c>
      <c r="G5" s="178" t="s">
        <v>12</v>
      </c>
      <c r="H5" s="178" t="s">
        <v>13</v>
      </c>
      <c r="I5" s="50"/>
      <c r="J5" s="38"/>
      <c r="K5" s="36"/>
      <c r="L5" s="36"/>
      <c r="M5" s="19">
        <f ca="1">Project_Start-WEEKDAY(Project_Start,1)+2+7*(Display_Week-1)</f>
        <v>45971</v>
      </c>
      <c r="N5" s="19">
        <f ca="1">M5+1</f>
        <v>45972</v>
      </c>
      <c r="O5" s="19">
        <f t="shared" ref="O5:BB5" ca="1" si="0">N5+1</f>
        <v>45973</v>
      </c>
      <c r="P5" s="19">
        <f t="shared" ca="1" si="0"/>
        <v>45974</v>
      </c>
      <c r="Q5" s="19">
        <f t="shared" ca="1" si="0"/>
        <v>45975</v>
      </c>
      <c r="R5" s="19">
        <f t="shared" ca="1" si="0"/>
        <v>45976</v>
      </c>
      <c r="S5" s="20">
        <f t="shared" ca="1" si="0"/>
        <v>45977</v>
      </c>
      <c r="T5" s="21">
        <f ca="1">S5+1</f>
        <v>45978</v>
      </c>
      <c r="U5" s="19">
        <f ca="1">T5+1</f>
        <v>45979</v>
      </c>
      <c r="V5" s="19">
        <f t="shared" ca="1" si="0"/>
        <v>45980</v>
      </c>
      <c r="W5" s="19">
        <f t="shared" ca="1" si="0"/>
        <v>45981</v>
      </c>
      <c r="X5" s="19">
        <f t="shared" ca="1" si="0"/>
        <v>45982</v>
      </c>
      <c r="Y5" s="19">
        <f t="shared" ca="1" si="0"/>
        <v>45983</v>
      </c>
      <c r="Z5" s="20">
        <f t="shared" ca="1" si="0"/>
        <v>45984</v>
      </c>
      <c r="AA5" s="21">
        <f ca="1">Z5+1</f>
        <v>45985</v>
      </c>
      <c r="AB5" s="19">
        <f ca="1">AA5+1</f>
        <v>45986</v>
      </c>
      <c r="AC5" s="19">
        <f t="shared" ca="1" si="0"/>
        <v>45987</v>
      </c>
      <c r="AD5" s="19">
        <f t="shared" ca="1" si="0"/>
        <v>45988</v>
      </c>
      <c r="AE5" s="19">
        <f t="shared" ca="1" si="0"/>
        <v>45989</v>
      </c>
      <c r="AF5" s="19">
        <f t="shared" ca="1" si="0"/>
        <v>45990</v>
      </c>
      <c r="AG5" s="20">
        <f t="shared" ca="1" si="0"/>
        <v>45991</v>
      </c>
      <c r="AH5" s="21">
        <f ca="1">AG5+1</f>
        <v>45992</v>
      </c>
      <c r="AI5" s="19">
        <f ca="1">AH5+1</f>
        <v>45993</v>
      </c>
      <c r="AJ5" s="19">
        <f t="shared" ca="1" si="0"/>
        <v>45994</v>
      </c>
      <c r="AK5" s="19">
        <f t="shared" ca="1" si="0"/>
        <v>45995</v>
      </c>
      <c r="AL5" s="19">
        <f t="shared" ca="1" si="0"/>
        <v>45996</v>
      </c>
      <c r="AM5" s="19">
        <f t="shared" ca="1" si="0"/>
        <v>45997</v>
      </c>
      <c r="AN5" s="20">
        <f t="shared" ca="1" si="0"/>
        <v>45998</v>
      </c>
      <c r="AO5" s="21">
        <f ca="1">AN5+1</f>
        <v>45999</v>
      </c>
      <c r="AP5" s="19">
        <f ca="1">AO5+1</f>
        <v>46000</v>
      </c>
      <c r="AQ5" s="19">
        <f t="shared" ca="1" si="0"/>
        <v>46001</v>
      </c>
      <c r="AR5" s="19">
        <f t="shared" ca="1" si="0"/>
        <v>46002</v>
      </c>
      <c r="AS5" s="19">
        <f t="shared" ca="1" si="0"/>
        <v>46003</v>
      </c>
      <c r="AT5" s="19">
        <f t="shared" ca="1" si="0"/>
        <v>46004</v>
      </c>
      <c r="AU5" s="20">
        <f t="shared" ca="1" si="0"/>
        <v>46005</v>
      </c>
      <c r="AV5" s="21">
        <f ca="1">AU5+1</f>
        <v>46006</v>
      </c>
      <c r="AW5" s="19">
        <f ca="1">AV5+1</f>
        <v>46007</v>
      </c>
      <c r="AX5" s="19">
        <f t="shared" ca="1" si="0"/>
        <v>46008</v>
      </c>
      <c r="AY5" s="19">
        <f t="shared" ca="1" si="0"/>
        <v>46009</v>
      </c>
      <c r="AZ5" s="19">
        <f t="shared" ca="1" si="0"/>
        <v>46010</v>
      </c>
      <c r="BA5" s="19">
        <f t="shared" ca="1" si="0"/>
        <v>46011</v>
      </c>
      <c r="BB5" s="20">
        <f t="shared" ca="1" si="0"/>
        <v>46012</v>
      </c>
      <c r="BC5" s="21">
        <f ca="1">BB5+1</f>
        <v>46013</v>
      </c>
      <c r="BD5" s="19">
        <f ca="1">BC5+1</f>
        <v>46014</v>
      </c>
      <c r="BE5" s="19">
        <f t="shared" ref="BE5:BI5" ca="1" si="1">BD5+1</f>
        <v>46015</v>
      </c>
      <c r="BF5" s="19">
        <f t="shared" ca="1" si="1"/>
        <v>46016</v>
      </c>
      <c r="BG5" s="19">
        <f t="shared" ca="1" si="1"/>
        <v>46017</v>
      </c>
      <c r="BH5" s="19">
        <f t="shared" ca="1" si="1"/>
        <v>46018</v>
      </c>
      <c r="BI5" s="20">
        <f t="shared" ca="1" si="1"/>
        <v>46019</v>
      </c>
      <c r="BJ5" s="21">
        <f ca="1">BI5+1</f>
        <v>46020</v>
      </c>
      <c r="BK5" s="19">
        <f ca="1">BJ5+1</f>
        <v>46021</v>
      </c>
      <c r="BL5" s="19">
        <f t="shared" ref="BL5:BP5" ca="1" si="2">BK5+1</f>
        <v>46022</v>
      </c>
      <c r="BM5" s="19">
        <f t="shared" ca="1" si="2"/>
        <v>46023</v>
      </c>
      <c r="BN5" s="19">
        <f t="shared" ca="1" si="2"/>
        <v>46024</v>
      </c>
      <c r="BO5" s="19">
        <f t="shared" ca="1" si="2"/>
        <v>46025</v>
      </c>
      <c r="BP5" s="19">
        <f t="shared" ca="1" si="2"/>
        <v>46026</v>
      </c>
      <c r="BQ5" s="21">
        <f t="shared" ref="BQ5:CV5" ca="1" si="3">BP5+1</f>
        <v>46027</v>
      </c>
      <c r="BR5" s="19">
        <f t="shared" ca="1" si="3"/>
        <v>46028</v>
      </c>
      <c r="BS5" s="19">
        <f t="shared" ca="1" si="3"/>
        <v>46029</v>
      </c>
      <c r="BT5" s="19">
        <f t="shared" ca="1" si="3"/>
        <v>46030</v>
      </c>
      <c r="BU5" s="19">
        <f t="shared" ca="1" si="3"/>
        <v>46031</v>
      </c>
      <c r="BV5" s="19">
        <f t="shared" ca="1" si="3"/>
        <v>46032</v>
      </c>
      <c r="BW5" s="19">
        <f t="shared" ca="1" si="3"/>
        <v>46033</v>
      </c>
      <c r="BX5" s="21">
        <f t="shared" ca="1" si="3"/>
        <v>46034</v>
      </c>
      <c r="BY5" s="19">
        <f t="shared" ca="1" si="3"/>
        <v>46035</v>
      </c>
      <c r="BZ5" s="19">
        <f t="shared" ca="1" si="3"/>
        <v>46036</v>
      </c>
      <c r="CA5" s="19">
        <f t="shared" ca="1" si="3"/>
        <v>46037</v>
      </c>
      <c r="CB5" s="19">
        <f t="shared" ca="1" si="3"/>
        <v>46038</v>
      </c>
      <c r="CC5" s="19">
        <f t="shared" ca="1" si="3"/>
        <v>46039</v>
      </c>
      <c r="CD5" s="19">
        <f t="shared" ca="1" si="3"/>
        <v>46040</v>
      </c>
      <c r="CE5" s="21">
        <f t="shared" ca="1" si="3"/>
        <v>46041</v>
      </c>
      <c r="CF5" s="19">
        <f t="shared" ca="1" si="3"/>
        <v>46042</v>
      </c>
      <c r="CG5" s="19">
        <f t="shared" ca="1" si="3"/>
        <v>46043</v>
      </c>
      <c r="CH5" s="19">
        <f t="shared" ca="1" si="3"/>
        <v>46044</v>
      </c>
      <c r="CI5" s="19">
        <f t="shared" ca="1" si="3"/>
        <v>46045</v>
      </c>
      <c r="CJ5" s="19">
        <f t="shared" ca="1" si="3"/>
        <v>46046</v>
      </c>
      <c r="CK5" s="19">
        <f t="shared" ca="1" si="3"/>
        <v>46047</v>
      </c>
      <c r="CL5" s="21">
        <f t="shared" ca="1" si="3"/>
        <v>46048</v>
      </c>
      <c r="CM5" s="19">
        <f t="shared" ca="1" si="3"/>
        <v>46049</v>
      </c>
      <c r="CN5" s="19">
        <f t="shared" ca="1" si="3"/>
        <v>46050</v>
      </c>
      <c r="CO5" s="19">
        <f t="shared" ca="1" si="3"/>
        <v>46051</v>
      </c>
      <c r="CP5" s="19">
        <f t="shared" ca="1" si="3"/>
        <v>46052</v>
      </c>
      <c r="CQ5" s="19">
        <f t="shared" ca="1" si="3"/>
        <v>46053</v>
      </c>
      <c r="CR5" s="19">
        <f t="shared" ca="1" si="3"/>
        <v>46054</v>
      </c>
      <c r="CS5" s="21">
        <f t="shared" ca="1" si="3"/>
        <v>46055</v>
      </c>
      <c r="CT5" s="19">
        <f t="shared" ca="1" si="3"/>
        <v>46056</v>
      </c>
      <c r="CU5" s="19">
        <f t="shared" ca="1" si="3"/>
        <v>46057</v>
      </c>
      <c r="CV5" s="19">
        <f t="shared" ca="1" si="3"/>
        <v>46058</v>
      </c>
      <c r="CW5" s="19">
        <f t="shared" ref="CW5:EB5" ca="1" si="4">CV5+1</f>
        <v>46059</v>
      </c>
      <c r="CX5" s="19">
        <f t="shared" ca="1" si="4"/>
        <v>46060</v>
      </c>
      <c r="CY5" s="19">
        <f t="shared" ca="1" si="4"/>
        <v>46061</v>
      </c>
      <c r="CZ5" s="21">
        <f t="shared" ca="1" si="4"/>
        <v>46062</v>
      </c>
      <c r="DA5" s="19">
        <f t="shared" ca="1" si="4"/>
        <v>46063</v>
      </c>
      <c r="DB5" s="19">
        <f t="shared" ca="1" si="4"/>
        <v>46064</v>
      </c>
      <c r="DC5" s="19">
        <f t="shared" ca="1" si="4"/>
        <v>46065</v>
      </c>
      <c r="DD5" s="19">
        <f t="shared" ca="1" si="4"/>
        <v>46066</v>
      </c>
      <c r="DE5" s="19">
        <f t="shared" ca="1" si="4"/>
        <v>46067</v>
      </c>
      <c r="DF5" s="19">
        <f t="shared" ca="1" si="4"/>
        <v>46068</v>
      </c>
      <c r="DG5" s="21">
        <f t="shared" ca="1" si="4"/>
        <v>46069</v>
      </c>
      <c r="DH5" s="19">
        <f t="shared" ca="1" si="4"/>
        <v>46070</v>
      </c>
      <c r="DI5" s="19">
        <f t="shared" ca="1" si="4"/>
        <v>46071</v>
      </c>
      <c r="DJ5" s="19">
        <f t="shared" ca="1" si="4"/>
        <v>46072</v>
      </c>
      <c r="DK5" s="19">
        <f t="shared" ca="1" si="4"/>
        <v>46073</v>
      </c>
      <c r="DL5" s="19">
        <f t="shared" ca="1" si="4"/>
        <v>46074</v>
      </c>
      <c r="DM5" s="19">
        <f t="shared" ca="1" si="4"/>
        <v>46075</v>
      </c>
      <c r="DN5" s="21">
        <f t="shared" ca="1" si="4"/>
        <v>46076</v>
      </c>
      <c r="DO5" s="19">
        <f t="shared" ca="1" si="4"/>
        <v>46077</v>
      </c>
      <c r="DP5" s="19">
        <f t="shared" ca="1" si="4"/>
        <v>46078</v>
      </c>
      <c r="DQ5" s="19">
        <f t="shared" ca="1" si="4"/>
        <v>46079</v>
      </c>
      <c r="DR5" s="19">
        <f t="shared" ca="1" si="4"/>
        <v>46080</v>
      </c>
      <c r="DS5" s="19">
        <f t="shared" ca="1" si="4"/>
        <v>46081</v>
      </c>
      <c r="DT5" s="19">
        <f t="shared" ca="1" si="4"/>
        <v>46082</v>
      </c>
      <c r="DU5" s="21">
        <f t="shared" ca="1" si="4"/>
        <v>46083</v>
      </c>
      <c r="DV5" s="19">
        <f t="shared" ca="1" si="4"/>
        <v>46084</v>
      </c>
      <c r="DW5" s="19">
        <f t="shared" ca="1" si="4"/>
        <v>46085</v>
      </c>
      <c r="DX5" s="19">
        <f t="shared" ca="1" si="4"/>
        <v>46086</v>
      </c>
      <c r="DY5" s="19">
        <f t="shared" ca="1" si="4"/>
        <v>46087</v>
      </c>
      <c r="DZ5" s="19">
        <f t="shared" ca="1" si="4"/>
        <v>46088</v>
      </c>
      <c r="EA5" s="19">
        <f t="shared" ca="1" si="4"/>
        <v>46089</v>
      </c>
      <c r="EB5" s="21">
        <f t="shared" ca="1" si="4"/>
        <v>46090</v>
      </c>
      <c r="EC5" s="19">
        <f t="shared" ref="EC5:FH5" ca="1" si="5">EB5+1</f>
        <v>46091</v>
      </c>
      <c r="ED5" s="19">
        <f t="shared" ca="1" si="5"/>
        <v>46092</v>
      </c>
      <c r="EE5" s="19">
        <f t="shared" ca="1" si="5"/>
        <v>46093</v>
      </c>
      <c r="EF5" s="19">
        <f t="shared" ca="1" si="5"/>
        <v>46094</v>
      </c>
      <c r="EG5" s="19">
        <f t="shared" ca="1" si="5"/>
        <v>46095</v>
      </c>
      <c r="EH5" s="19">
        <f t="shared" ca="1" si="5"/>
        <v>46096</v>
      </c>
      <c r="EI5" s="21">
        <f t="shared" ca="1" si="5"/>
        <v>46097</v>
      </c>
      <c r="EJ5" s="19">
        <f t="shared" ca="1" si="5"/>
        <v>46098</v>
      </c>
      <c r="EK5" s="19">
        <f t="shared" ca="1" si="5"/>
        <v>46099</v>
      </c>
      <c r="EL5" s="19">
        <f t="shared" ca="1" si="5"/>
        <v>46100</v>
      </c>
      <c r="EM5" s="19">
        <f t="shared" ca="1" si="5"/>
        <v>46101</v>
      </c>
      <c r="EN5" s="19">
        <f t="shared" ca="1" si="5"/>
        <v>46102</v>
      </c>
      <c r="EO5" s="19">
        <f t="shared" ca="1" si="5"/>
        <v>46103</v>
      </c>
      <c r="EP5" s="21">
        <f t="shared" ca="1" si="5"/>
        <v>46104</v>
      </c>
      <c r="EQ5" s="19">
        <f t="shared" ca="1" si="5"/>
        <v>46105</v>
      </c>
      <c r="ER5" s="19">
        <f t="shared" ca="1" si="5"/>
        <v>46106</v>
      </c>
      <c r="ES5" s="19">
        <f t="shared" ca="1" si="5"/>
        <v>46107</v>
      </c>
      <c r="ET5" s="19">
        <f t="shared" ca="1" si="5"/>
        <v>46108</v>
      </c>
      <c r="EU5" s="19">
        <f t="shared" ca="1" si="5"/>
        <v>46109</v>
      </c>
      <c r="EV5" s="19">
        <f t="shared" ca="1" si="5"/>
        <v>46110</v>
      </c>
      <c r="EW5" s="21">
        <f t="shared" ca="1" si="5"/>
        <v>46111</v>
      </c>
      <c r="EX5" s="19">
        <f t="shared" ca="1" si="5"/>
        <v>46112</v>
      </c>
      <c r="EY5" s="19">
        <f t="shared" ca="1" si="5"/>
        <v>46113</v>
      </c>
      <c r="EZ5" s="19">
        <f t="shared" ca="1" si="5"/>
        <v>46114</v>
      </c>
      <c r="FA5" s="19">
        <f t="shared" ca="1" si="5"/>
        <v>46115</v>
      </c>
      <c r="FB5" s="19">
        <f t="shared" ca="1" si="5"/>
        <v>46116</v>
      </c>
      <c r="FC5" s="19">
        <f t="shared" ca="1" si="5"/>
        <v>46117</v>
      </c>
      <c r="FD5" s="21">
        <f t="shared" ca="1" si="5"/>
        <v>46118</v>
      </c>
      <c r="FE5" s="19">
        <f t="shared" ca="1" si="5"/>
        <v>46119</v>
      </c>
      <c r="FF5" s="19">
        <f t="shared" ca="1" si="5"/>
        <v>46120</v>
      </c>
      <c r="FG5" s="19">
        <f t="shared" ca="1" si="5"/>
        <v>46121</v>
      </c>
      <c r="FH5" s="19">
        <f t="shared" ca="1" si="5"/>
        <v>46122</v>
      </c>
      <c r="FI5" s="19">
        <f t="shared" ref="FI5:GJ5" ca="1" si="6">FH5+1</f>
        <v>46123</v>
      </c>
      <c r="FJ5" s="19">
        <f t="shared" ca="1" si="6"/>
        <v>46124</v>
      </c>
      <c r="FK5" s="21">
        <f t="shared" ca="1" si="6"/>
        <v>46125</v>
      </c>
      <c r="FL5" s="19">
        <f t="shared" ca="1" si="6"/>
        <v>46126</v>
      </c>
      <c r="FM5" s="19">
        <f t="shared" ca="1" si="6"/>
        <v>46127</v>
      </c>
      <c r="FN5" s="19">
        <f t="shared" ca="1" si="6"/>
        <v>46128</v>
      </c>
      <c r="FO5" s="19">
        <f t="shared" ca="1" si="6"/>
        <v>46129</v>
      </c>
      <c r="FP5" s="19">
        <f t="shared" ca="1" si="6"/>
        <v>46130</v>
      </c>
      <c r="FQ5" s="19">
        <f t="shared" ca="1" si="6"/>
        <v>46131</v>
      </c>
      <c r="FR5" s="21">
        <f t="shared" ca="1" si="6"/>
        <v>46132</v>
      </c>
      <c r="FS5" s="19">
        <f t="shared" ca="1" si="6"/>
        <v>46133</v>
      </c>
      <c r="FT5" s="19">
        <f t="shared" ca="1" si="6"/>
        <v>46134</v>
      </c>
      <c r="FU5" s="19">
        <f t="shared" ca="1" si="6"/>
        <v>46135</v>
      </c>
      <c r="FV5" s="19">
        <f t="shared" ca="1" si="6"/>
        <v>46136</v>
      </c>
      <c r="FW5" s="19">
        <f t="shared" ca="1" si="6"/>
        <v>46137</v>
      </c>
      <c r="FX5" s="19">
        <f t="shared" ca="1" si="6"/>
        <v>46138</v>
      </c>
      <c r="FY5" s="21">
        <f t="shared" ca="1" si="6"/>
        <v>46139</v>
      </c>
      <c r="FZ5" s="19">
        <f t="shared" ca="1" si="6"/>
        <v>46140</v>
      </c>
      <c r="GA5" s="19">
        <f t="shared" ca="1" si="6"/>
        <v>46141</v>
      </c>
      <c r="GB5" s="19">
        <f t="shared" ca="1" si="6"/>
        <v>46142</v>
      </c>
      <c r="GC5" s="19">
        <f t="shared" ca="1" si="6"/>
        <v>46143</v>
      </c>
      <c r="GD5" s="19">
        <f t="shared" ca="1" si="6"/>
        <v>46144</v>
      </c>
      <c r="GE5" s="19">
        <f t="shared" ca="1" si="6"/>
        <v>46145</v>
      </c>
      <c r="GF5" s="21">
        <f t="shared" ca="1" si="6"/>
        <v>46146</v>
      </c>
      <c r="GG5" s="19">
        <f t="shared" ca="1" si="6"/>
        <v>46147</v>
      </c>
      <c r="GH5" s="19">
        <f t="shared" ca="1" si="6"/>
        <v>46148</v>
      </c>
      <c r="GI5" s="19">
        <f t="shared" ca="1" si="6"/>
        <v>46149</v>
      </c>
      <c r="GJ5" s="19">
        <f t="shared" ca="1" si="6"/>
        <v>46150</v>
      </c>
      <c r="GK5" s="19"/>
      <c r="GL5" s="19"/>
    </row>
    <row r="6" spans="1:194" s="14" customFormat="1" ht="15" customHeight="1" thickBot="1">
      <c r="A6" s="176"/>
      <c r="B6" s="176"/>
      <c r="C6" s="177"/>
      <c r="D6" s="178"/>
      <c r="E6" s="178"/>
      <c r="F6" s="178"/>
      <c r="G6" s="178"/>
      <c r="H6" s="178"/>
      <c r="I6" s="38"/>
      <c r="J6" s="39"/>
      <c r="K6" s="36"/>
      <c r="L6" s="36"/>
      <c r="M6" s="22" t="str">
        <f t="shared" ref="M6:AR6" ca="1" si="7">LEFT(TEXT(M5,"ddd"),1)</f>
        <v>M</v>
      </c>
      <c r="N6" s="23" t="str">
        <f t="shared" ca="1" si="7"/>
        <v>T</v>
      </c>
      <c r="O6" s="23" t="str">
        <f t="shared" ca="1" si="7"/>
        <v>W</v>
      </c>
      <c r="P6" s="23" t="str">
        <f t="shared" ca="1" si="7"/>
        <v>T</v>
      </c>
      <c r="Q6" s="23" t="str">
        <f t="shared" ca="1" si="7"/>
        <v>F</v>
      </c>
      <c r="R6" s="23" t="str">
        <f t="shared" ca="1" si="7"/>
        <v>S</v>
      </c>
      <c r="S6" s="23" t="str">
        <f t="shared" ca="1" si="7"/>
        <v>S</v>
      </c>
      <c r="T6" s="23" t="str">
        <f t="shared" ca="1" si="7"/>
        <v>M</v>
      </c>
      <c r="U6" s="23" t="str">
        <f t="shared" ca="1" si="7"/>
        <v>T</v>
      </c>
      <c r="V6" s="23" t="str">
        <f t="shared" ca="1" si="7"/>
        <v>W</v>
      </c>
      <c r="W6" s="23" t="str">
        <f t="shared" ca="1" si="7"/>
        <v>T</v>
      </c>
      <c r="X6" s="23" t="str">
        <f t="shared" ca="1" si="7"/>
        <v>F</v>
      </c>
      <c r="Y6" s="23" t="str">
        <f t="shared" ca="1" si="7"/>
        <v>S</v>
      </c>
      <c r="Z6" s="23" t="str">
        <f t="shared" ca="1" si="7"/>
        <v>S</v>
      </c>
      <c r="AA6" s="23" t="str">
        <f t="shared" ca="1" si="7"/>
        <v>M</v>
      </c>
      <c r="AB6" s="23" t="str">
        <f t="shared" ca="1" si="7"/>
        <v>T</v>
      </c>
      <c r="AC6" s="23" t="str">
        <f t="shared" ca="1" si="7"/>
        <v>W</v>
      </c>
      <c r="AD6" s="23" t="str">
        <f t="shared" ca="1" si="7"/>
        <v>T</v>
      </c>
      <c r="AE6" s="23" t="str">
        <f t="shared" ca="1" si="7"/>
        <v>F</v>
      </c>
      <c r="AF6" s="23" t="str">
        <f t="shared" ca="1" si="7"/>
        <v>S</v>
      </c>
      <c r="AG6" s="23" t="str">
        <f t="shared" ca="1" si="7"/>
        <v>S</v>
      </c>
      <c r="AH6" s="23" t="str">
        <f t="shared" ca="1" si="7"/>
        <v>M</v>
      </c>
      <c r="AI6" s="23" t="str">
        <f t="shared" ca="1" si="7"/>
        <v>T</v>
      </c>
      <c r="AJ6" s="23" t="str">
        <f t="shared" ca="1" si="7"/>
        <v>W</v>
      </c>
      <c r="AK6" s="23" t="str">
        <f t="shared" ca="1" si="7"/>
        <v>T</v>
      </c>
      <c r="AL6" s="23" t="str">
        <f t="shared" ca="1" si="7"/>
        <v>F</v>
      </c>
      <c r="AM6" s="23" t="str">
        <f t="shared" ca="1" si="7"/>
        <v>S</v>
      </c>
      <c r="AN6" s="23" t="str">
        <f t="shared" ca="1" si="7"/>
        <v>S</v>
      </c>
      <c r="AO6" s="23" t="str">
        <f t="shared" ca="1" si="7"/>
        <v>M</v>
      </c>
      <c r="AP6" s="23" t="str">
        <f t="shared" ca="1" si="7"/>
        <v>T</v>
      </c>
      <c r="AQ6" s="23" t="str">
        <f t="shared" ca="1" si="7"/>
        <v>W</v>
      </c>
      <c r="AR6" s="23" t="str">
        <f t="shared" ca="1" si="7"/>
        <v>T</v>
      </c>
      <c r="AS6" s="23" t="str">
        <f t="shared" ref="AS6:BP6" ca="1" si="8">LEFT(TEXT(AS5,"ddd"),1)</f>
        <v>F</v>
      </c>
      <c r="AT6" s="23" t="str">
        <f t="shared" ca="1" si="8"/>
        <v>S</v>
      </c>
      <c r="AU6" s="23" t="str">
        <f t="shared" ca="1" si="8"/>
        <v>S</v>
      </c>
      <c r="AV6" s="23" t="str">
        <f t="shared" ca="1" si="8"/>
        <v>M</v>
      </c>
      <c r="AW6" s="23" t="str">
        <f t="shared" ca="1" si="8"/>
        <v>T</v>
      </c>
      <c r="AX6" s="23" t="str">
        <f t="shared" ca="1" si="8"/>
        <v>W</v>
      </c>
      <c r="AY6" s="23" t="str">
        <f t="shared" ca="1" si="8"/>
        <v>T</v>
      </c>
      <c r="AZ6" s="23" t="str">
        <f t="shared" ca="1" si="8"/>
        <v>F</v>
      </c>
      <c r="BA6" s="23" t="str">
        <f t="shared" ca="1" si="8"/>
        <v>S</v>
      </c>
      <c r="BB6" s="23" t="str">
        <f t="shared" ca="1" si="8"/>
        <v>S</v>
      </c>
      <c r="BC6" s="23" t="str">
        <f t="shared" ca="1" si="8"/>
        <v>M</v>
      </c>
      <c r="BD6" s="23" t="str">
        <f t="shared" ca="1" si="8"/>
        <v>T</v>
      </c>
      <c r="BE6" s="23" t="str">
        <f t="shared" ca="1" si="8"/>
        <v>W</v>
      </c>
      <c r="BF6" s="23" t="str">
        <f t="shared" ca="1" si="8"/>
        <v>T</v>
      </c>
      <c r="BG6" s="23" t="str">
        <f t="shared" ca="1" si="8"/>
        <v>F</v>
      </c>
      <c r="BH6" s="23" t="str">
        <f t="shared" ca="1" si="8"/>
        <v>S</v>
      </c>
      <c r="BI6" s="23" t="str">
        <f t="shared" ca="1" si="8"/>
        <v>S</v>
      </c>
      <c r="BJ6" s="23" t="str">
        <f t="shared" ca="1" si="8"/>
        <v>M</v>
      </c>
      <c r="BK6" s="23" t="str">
        <f t="shared" ca="1" si="8"/>
        <v>T</v>
      </c>
      <c r="BL6" s="23" t="str">
        <f t="shared" ca="1" si="8"/>
        <v>W</v>
      </c>
      <c r="BM6" s="23" t="str">
        <f t="shared" ca="1" si="8"/>
        <v>T</v>
      </c>
      <c r="BN6" s="23" t="str">
        <f t="shared" ca="1" si="8"/>
        <v>F</v>
      </c>
      <c r="BO6" s="23" t="str">
        <f ca="1">LEFT(TEXT(BO5,"ddd"),1)</f>
        <v>S</v>
      </c>
      <c r="BP6" s="24" t="str">
        <f t="shared" ca="1" si="8"/>
        <v>S</v>
      </c>
      <c r="BQ6" s="23" t="str">
        <f t="shared" ref="BQ6:CV6" ca="1" si="9">LEFT(TEXT(BQ5,"ddd"),1)</f>
        <v>M</v>
      </c>
      <c r="BR6" s="23" t="str">
        <f t="shared" ca="1" si="9"/>
        <v>T</v>
      </c>
      <c r="BS6" s="23" t="str">
        <f t="shared" ca="1" si="9"/>
        <v>W</v>
      </c>
      <c r="BT6" s="23" t="str">
        <f t="shared" ca="1" si="9"/>
        <v>T</v>
      </c>
      <c r="BU6" s="23" t="str">
        <f t="shared" ca="1" si="9"/>
        <v>F</v>
      </c>
      <c r="BV6" s="23" t="str">
        <f t="shared" ca="1" si="9"/>
        <v>S</v>
      </c>
      <c r="BW6" s="24" t="str">
        <f t="shared" ca="1" si="9"/>
        <v>S</v>
      </c>
      <c r="BX6" s="23" t="str">
        <f t="shared" ca="1" si="9"/>
        <v>M</v>
      </c>
      <c r="BY6" s="23" t="str">
        <f t="shared" ca="1" si="9"/>
        <v>T</v>
      </c>
      <c r="BZ6" s="23" t="str">
        <f t="shared" ca="1" si="9"/>
        <v>W</v>
      </c>
      <c r="CA6" s="23" t="str">
        <f t="shared" ca="1" si="9"/>
        <v>T</v>
      </c>
      <c r="CB6" s="23" t="str">
        <f t="shared" ca="1" si="9"/>
        <v>F</v>
      </c>
      <c r="CC6" s="23" t="str">
        <f t="shared" ca="1" si="9"/>
        <v>S</v>
      </c>
      <c r="CD6" s="24" t="str">
        <f t="shared" ca="1" si="9"/>
        <v>S</v>
      </c>
      <c r="CE6" s="23" t="str">
        <f t="shared" ca="1" si="9"/>
        <v>M</v>
      </c>
      <c r="CF6" s="23" t="str">
        <f t="shared" ca="1" si="9"/>
        <v>T</v>
      </c>
      <c r="CG6" s="23" t="str">
        <f t="shared" ca="1" si="9"/>
        <v>W</v>
      </c>
      <c r="CH6" s="23" t="str">
        <f t="shared" ca="1" si="9"/>
        <v>T</v>
      </c>
      <c r="CI6" s="23" t="str">
        <f t="shared" ca="1" si="9"/>
        <v>F</v>
      </c>
      <c r="CJ6" s="23" t="str">
        <f t="shared" ca="1" si="9"/>
        <v>S</v>
      </c>
      <c r="CK6" s="24" t="str">
        <f t="shared" ca="1" si="9"/>
        <v>S</v>
      </c>
      <c r="CL6" s="23" t="str">
        <f t="shared" ca="1" si="9"/>
        <v>M</v>
      </c>
      <c r="CM6" s="23" t="str">
        <f t="shared" ca="1" si="9"/>
        <v>T</v>
      </c>
      <c r="CN6" s="23" t="str">
        <f t="shared" ca="1" si="9"/>
        <v>W</v>
      </c>
      <c r="CO6" s="23" t="str">
        <f t="shared" ca="1" si="9"/>
        <v>T</v>
      </c>
      <c r="CP6" s="23" t="str">
        <f t="shared" ca="1" si="9"/>
        <v>F</v>
      </c>
      <c r="CQ6" s="23" t="str">
        <f t="shared" ca="1" si="9"/>
        <v>S</v>
      </c>
      <c r="CR6" s="24" t="str">
        <f t="shared" ca="1" si="9"/>
        <v>S</v>
      </c>
      <c r="CS6" s="23" t="str">
        <f t="shared" ca="1" si="9"/>
        <v>M</v>
      </c>
      <c r="CT6" s="23" t="str">
        <f t="shared" ca="1" si="9"/>
        <v>T</v>
      </c>
      <c r="CU6" s="23" t="str">
        <f t="shared" ca="1" si="9"/>
        <v>W</v>
      </c>
      <c r="CV6" s="23" t="str">
        <f t="shared" ca="1" si="9"/>
        <v>T</v>
      </c>
      <c r="CW6" s="23" t="str">
        <f t="shared" ref="CW6:EB6" ca="1" si="10">LEFT(TEXT(CW5,"ddd"),1)</f>
        <v>F</v>
      </c>
      <c r="CX6" s="23" t="str">
        <f t="shared" ca="1" si="10"/>
        <v>S</v>
      </c>
      <c r="CY6" s="24" t="str">
        <f t="shared" ca="1" si="10"/>
        <v>S</v>
      </c>
      <c r="CZ6" s="23" t="str">
        <f t="shared" ca="1" si="10"/>
        <v>M</v>
      </c>
      <c r="DA6" s="23" t="str">
        <f t="shared" ca="1" si="10"/>
        <v>T</v>
      </c>
      <c r="DB6" s="23" t="str">
        <f t="shared" ca="1" si="10"/>
        <v>W</v>
      </c>
      <c r="DC6" s="23" t="str">
        <f t="shared" ca="1" si="10"/>
        <v>T</v>
      </c>
      <c r="DD6" s="23" t="str">
        <f t="shared" ca="1" si="10"/>
        <v>F</v>
      </c>
      <c r="DE6" s="23" t="str">
        <f t="shared" ca="1" si="10"/>
        <v>S</v>
      </c>
      <c r="DF6" s="24" t="str">
        <f t="shared" ca="1" si="10"/>
        <v>S</v>
      </c>
      <c r="DG6" s="23" t="str">
        <f t="shared" ca="1" si="10"/>
        <v>M</v>
      </c>
      <c r="DH6" s="23" t="str">
        <f t="shared" ca="1" si="10"/>
        <v>T</v>
      </c>
      <c r="DI6" s="23" t="str">
        <f t="shared" ca="1" si="10"/>
        <v>W</v>
      </c>
      <c r="DJ6" s="23" t="str">
        <f t="shared" ca="1" si="10"/>
        <v>T</v>
      </c>
      <c r="DK6" s="23" t="str">
        <f t="shared" ca="1" si="10"/>
        <v>F</v>
      </c>
      <c r="DL6" s="23" t="str">
        <f t="shared" ca="1" si="10"/>
        <v>S</v>
      </c>
      <c r="DM6" s="24" t="str">
        <f t="shared" ca="1" si="10"/>
        <v>S</v>
      </c>
      <c r="DN6" s="23" t="str">
        <f t="shared" ca="1" si="10"/>
        <v>M</v>
      </c>
      <c r="DO6" s="23" t="str">
        <f t="shared" ca="1" si="10"/>
        <v>T</v>
      </c>
      <c r="DP6" s="23" t="str">
        <f t="shared" ca="1" si="10"/>
        <v>W</v>
      </c>
      <c r="DQ6" s="23" t="str">
        <f t="shared" ca="1" si="10"/>
        <v>T</v>
      </c>
      <c r="DR6" s="23" t="str">
        <f t="shared" ca="1" si="10"/>
        <v>F</v>
      </c>
      <c r="DS6" s="23" t="str">
        <f t="shared" ca="1" si="10"/>
        <v>S</v>
      </c>
      <c r="DT6" s="24" t="str">
        <f t="shared" ca="1" si="10"/>
        <v>S</v>
      </c>
      <c r="DU6" s="23" t="str">
        <f t="shared" ca="1" si="10"/>
        <v>M</v>
      </c>
      <c r="DV6" s="23" t="str">
        <f t="shared" ca="1" si="10"/>
        <v>T</v>
      </c>
      <c r="DW6" s="23" t="str">
        <f t="shared" ca="1" si="10"/>
        <v>W</v>
      </c>
      <c r="DX6" s="23" t="str">
        <f t="shared" ca="1" si="10"/>
        <v>T</v>
      </c>
      <c r="DY6" s="23" t="str">
        <f t="shared" ca="1" si="10"/>
        <v>F</v>
      </c>
      <c r="DZ6" s="23" t="str">
        <f t="shared" ca="1" si="10"/>
        <v>S</v>
      </c>
      <c r="EA6" s="24" t="str">
        <f t="shared" ca="1" si="10"/>
        <v>S</v>
      </c>
      <c r="EB6" s="23" t="str">
        <f t="shared" ca="1" si="10"/>
        <v>M</v>
      </c>
      <c r="EC6" s="23" t="str">
        <f t="shared" ref="EC6:FH6" ca="1" si="11">LEFT(TEXT(EC5,"ddd"),1)</f>
        <v>T</v>
      </c>
      <c r="ED6" s="23" t="str">
        <f t="shared" ca="1" si="11"/>
        <v>W</v>
      </c>
      <c r="EE6" s="23" t="str">
        <f t="shared" ca="1" si="11"/>
        <v>T</v>
      </c>
      <c r="EF6" s="23" t="str">
        <f t="shared" ca="1" si="11"/>
        <v>F</v>
      </c>
      <c r="EG6" s="23" t="str">
        <f t="shared" ca="1" si="11"/>
        <v>S</v>
      </c>
      <c r="EH6" s="24" t="str">
        <f t="shared" ca="1" si="11"/>
        <v>S</v>
      </c>
      <c r="EI6" s="23" t="str">
        <f t="shared" ca="1" si="11"/>
        <v>M</v>
      </c>
      <c r="EJ6" s="23" t="str">
        <f t="shared" ca="1" si="11"/>
        <v>T</v>
      </c>
      <c r="EK6" s="23" t="str">
        <f t="shared" ca="1" si="11"/>
        <v>W</v>
      </c>
      <c r="EL6" s="23" t="str">
        <f t="shared" ca="1" si="11"/>
        <v>T</v>
      </c>
      <c r="EM6" s="23" t="str">
        <f t="shared" ca="1" si="11"/>
        <v>F</v>
      </c>
      <c r="EN6" s="23" t="str">
        <f t="shared" ca="1" si="11"/>
        <v>S</v>
      </c>
      <c r="EO6" s="24" t="str">
        <f t="shared" ca="1" si="11"/>
        <v>S</v>
      </c>
      <c r="EP6" s="23" t="str">
        <f t="shared" ca="1" si="11"/>
        <v>M</v>
      </c>
      <c r="EQ6" s="23" t="str">
        <f t="shared" ca="1" si="11"/>
        <v>T</v>
      </c>
      <c r="ER6" s="23" t="str">
        <f t="shared" ca="1" si="11"/>
        <v>W</v>
      </c>
      <c r="ES6" s="23" t="str">
        <f t="shared" ca="1" si="11"/>
        <v>T</v>
      </c>
      <c r="ET6" s="23" t="str">
        <f t="shared" ca="1" si="11"/>
        <v>F</v>
      </c>
      <c r="EU6" s="23" t="str">
        <f t="shared" ca="1" si="11"/>
        <v>S</v>
      </c>
      <c r="EV6" s="24" t="str">
        <f t="shared" ca="1" si="11"/>
        <v>S</v>
      </c>
      <c r="EW6" s="23" t="str">
        <f t="shared" ca="1" si="11"/>
        <v>M</v>
      </c>
      <c r="EX6" s="23" t="str">
        <f t="shared" ca="1" si="11"/>
        <v>T</v>
      </c>
      <c r="EY6" s="23" t="str">
        <f t="shared" ca="1" si="11"/>
        <v>W</v>
      </c>
      <c r="EZ6" s="23" t="str">
        <f t="shared" ca="1" si="11"/>
        <v>T</v>
      </c>
      <c r="FA6" s="23" t="str">
        <f t="shared" ca="1" si="11"/>
        <v>F</v>
      </c>
      <c r="FB6" s="23" t="str">
        <f t="shared" ca="1" si="11"/>
        <v>S</v>
      </c>
      <c r="FC6" s="24" t="str">
        <f t="shared" ca="1" si="11"/>
        <v>S</v>
      </c>
      <c r="FD6" s="23" t="str">
        <f t="shared" ca="1" si="11"/>
        <v>M</v>
      </c>
      <c r="FE6" s="23" t="str">
        <f t="shared" ca="1" si="11"/>
        <v>T</v>
      </c>
      <c r="FF6" s="23" t="str">
        <f t="shared" ca="1" si="11"/>
        <v>W</v>
      </c>
      <c r="FG6" s="23" t="str">
        <f t="shared" ca="1" si="11"/>
        <v>T</v>
      </c>
      <c r="FH6" s="23" t="str">
        <f t="shared" ca="1" si="11"/>
        <v>F</v>
      </c>
      <c r="FI6" s="23" t="str">
        <f t="shared" ref="FI6:GJ6" ca="1" si="12">LEFT(TEXT(FI5,"ddd"),1)</f>
        <v>S</v>
      </c>
      <c r="FJ6" s="24" t="str">
        <f t="shared" ca="1" si="12"/>
        <v>S</v>
      </c>
      <c r="FK6" s="23" t="str">
        <f t="shared" ca="1" si="12"/>
        <v>M</v>
      </c>
      <c r="FL6" s="23" t="str">
        <f t="shared" ca="1" si="12"/>
        <v>T</v>
      </c>
      <c r="FM6" s="23" t="str">
        <f t="shared" ca="1" si="12"/>
        <v>W</v>
      </c>
      <c r="FN6" s="23" t="str">
        <f t="shared" ca="1" si="12"/>
        <v>T</v>
      </c>
      <c r="FO6" s="23" t="str">
        <f t="shared" ca="1" si="12"/>
        <v>F</v>
      </c>
      <c r="FP6" s="23" t="str">
        <f t="shared" ca="1" si="12"/>
        <v>S</v>
      </c>
      <c r="FQ6" s="24" t="str">
        <f t="shared" ca="1" si="12"/>
        <v>S</v>
      </c>
      <c r="FR6" s="23" t="str">
        <f t="shared" ca="1" si="12"/>
        <v>M</v>
      </c>
      <c r="FS6" s="23" t="str">
        <f t="shared" ca="1" si="12"/>
        <v>T</v>
      </c>
      <c r="FT6" s="23" t="str">
        <f t="shared" ca="1" si="12"/>
        <v>W</v>
      </c>
      <c r="FU6" s="23" t="str">
        <f t="shared" ca="1" si="12"/>
        <v>T</v>
      </c>
      <c r="FV6" s="23" t="str">
        <f t="shared" ca="1" si="12"/>
        <v>F</v>
      </c>
      <c r="FW6" s="23" t="str">
        <f t="shared" ca="1" si="12"/>
        <v>S</v>
      </c>
      <c r="FX6" s="24" t="str">
        <f t="shared" ca="1" si="12"/>
        <v>S</v>
      </c>
      <c r="FY6" s="23" t="str">
        <f t="shared" ca="1" si="12"/>
        <v>M</v>
      </c>
      <c r="FZ6" s="23" t="str">
        <f t="shared" ca="1" si="12"/>
        <v>T</v>
      </c>
      <c r="GA6" s="23" t="str">
        <f t="shared" ca="1" si="12"/>
        <v>W</v>
      </c>
      <c r="GB6" s="23" t="str">
        <f t="shared" ca="1" si="12"/>
        <v>T</v>
      </c>
      <c r="GC6" s="23" t="str">
        <f t="shared" ca="1" si="12"/>
        <v>F</v>
      </c>
      <c r="GD6" s="23" t="str">
        <f t="shared" ca="1" si="12"/>
        <v>S</v>
      </c>
      <c r="GE6" s="24" t="str">
        <f t="shared" ca="1" si="12"/>
        <v>S</v>
      </c>
      <c r="GF6" s="23" t="str">
        <f t="shared" ca="1" si="12"/>
        <v>M</v>
      </c>
      <c r="GG6" s="23" t="str">
        <f t="shared" ca="1" si="12"/>
        <v>T</v>
      </c>
      <c r="GH6" s="23" t="str">
        <f t="shared" ca="1" si="12"/>
        <v>W</v>
      </c>
      <c r="GI6" s="23" t="str">
        <f t="shared" ca="1" si="12"/>
        <v>T</v>
      </c>
      <c r="GJ6" s="23" t="str">
        <f t="shared" ca="1" si="12"/>
        <v>F</v>
      </c>
      <c r="GK6" s="23"/>
      <c r="GL6" s="24"/>
    </row>
    <row r="7" spans="1:194" s="14" customFormat="1" ht="30" hidden="1" customHeight="1">
      <c r="A7" s="25"/>
      <c r="B7" s="25"/>
      <c r="C7" s="26"/>
      <c r="D7" s="25"/>
      <c r="E7" s="25"/>
      <c r="F7" s="25"/>
      <c r="G7" s="25"/>
      <c r="H7" s="45"/>
      <c r="I7" s="39"/>
      <c r="J7" s="14" t="str">
        <f ca="1">IF(OR(ISBLANK(task_start),ISBLANK(task_end)),"",task_end-task_start+1)</f>
        <v/>
      </c>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row>
    <row r="8" spans="1:194" s="28" customFormat="1" ht="27.75" customHeight="1">
      <c r="A8" s="71"/>
      <c r="B8" s="72"/>
      <c r="C8" s="73"/>
      <c r="D8" s="74"/>
      <c r="E8" s="75"/>
      <c r="F8" s="76"/>
      <c r="G8" s="77"/>
      <c r="H8" s="77"/>
      <c r="I8" s="36"/>
      <c r="J8" s="103" t="str">
        <f t="shared" ref="J8:J35" ca="1" si="13">IF(OR(ISBLANK(task_start),ISBLANK(task_end)),"",task_end-task_start+1)</f>
        <v/>
      </c>
      <c r="K8" s="52"/>
      <c r="L8" s="52"/>
      <c r="M8" s="40"/>
      <c r="N8" s="40"/>
      <c r="O8" s="40"/>
      <c r="P8" s="40"/>
      <c r="Q8" s="40"/>
      <c r="R8" s="41"/>
      <c r="S8" s="41"/>
      <c r="T8" s="42"/>
      <c r="U8" s="42"/>
      <c r="V8" s="42"/>
      <c r="W8" s="42"/>
      <c r="X8" s="42"/>
      <c r="Y8" s="65"/>
      <c r="Z8" s="42"/>
      <c r="AA8" s="41"/>
      <c r="AB8" s="41"/>
      <c r="AC8" s="41"/>
      <c r="AD8" s="41"/>
      <c r="AE8" s="41"/>
      <c r="AF8" s="41"/>
      <c r="AG8" s="41"/>
      <c r="AH8" s="42"/>
      <c r="AI8" s="42"/>
      <c r="AJ8" s="42"/>
      <c r="AK8" s="42"/>
      <c r="AL8" s="42"/>
      <c r="AM8" s="42"/>
      <c r="AN8" s="42"/>
      <c r="AO8" s="41"/>
      <c r="AP8" s="41"/>
      <c r="AQ8" s="41"/>
      <c r="AR8" s="41"/>
      <c r="AS8" s="41"/>
      <c r="AT8" s="41"/>
      <c r="AU8" s="41"/>
      <c r="AV8" s="42"/>
      <c r="AW8" s="42"/>
      <c r="AX8" s="42"/>
      <c r="AY8" s="42"/>
      <c r="AZ8" s="42"/>
      <c r="BA8" s="42"/>
      <c r="BB8" s="42"/>
      <c r="BC8" s="41"/>
      <c r="BD8" s="41"/>
      <c r="BE8" s="41"/>
      <c r="BF8" s="41"/>
      <c r="BG8" s="41"/>
      <c r="BH8" s="41"/>
      <c r="BI8" s="41"/>
      <c r="BJ8" s="42"/>
      <c r="BK8" s="42"/>
      <c r="BL8" s="42"/>
      <c r="BM8" s="42"/>
      <c r="BN8" s="42"/>
      <c r="BO8" s="42"/>
      <c r="BP8" s="42"/>
      <c r="BQ8" s="41"/>
      <c r="BR8" s="41"/>
      <c r="BS8" s="41"/>
      <c r="BT8" s="41"/>
      <c r="BU8" s="41"/>
      <c r="BV8" s="41"/>
      <c r="BW8" s="41"/>
      <c r="BX8" s="42"/>
      <c r="BY8" s="42"/>
      <c r="BZ8" s="42"/>
      <c r="CA8" s="42"/>
      <c r="CB8" s="42"/>
      <c r="CC8" s="42"/>
      <c r="CD8" s="42"/>
      <c r="CE8" s="41"/>
      <c r="CF8" s="41"/>
      <c r="CG8" s="41"/>
      <c r="CH8" s="41"/>
      <c r="CI8" s="41"/>
      <c r="CJ8" s="41"/>
      <c r="CK8" s="41"/>
      <c r="CL8" s="42"/>
      <c r="CM8" s="42"/>
      <c r="CN8" s="42"/>
      <c r="CO8" s="42"/>
      <c r="CP8" s="42"/>
      <c r="CQ8" s="42"/>
      <c r="CR8" s="42"/>
      <c r="CS8" s="41"/>
      <c r="CT8" s="41"/>
      <c r="CU8" s="41"/>
      <c r="CV8" s="41"/>
      <c r="CW8" s="41"/>
      <c r="CX8" s="41"/>
      <c r="CY8" s="41"/>
      <c r="CZ8" s="42"/>
      <c r="DA8" s="42"/>
      <c r="DB8" s="42"/>
      <c r="DC8" s="42"/>
      <c r="DD8" s="42"/>
      <c r="DE8" s="42"/>
      <c r="DF8" s="42"/>
      <c r="DG8" s="41"/>
      <c r="DH8" s="41"/>
      <c r="DI8" s="41"/>
      <c r="DJ8" s="41"/>
      <c r="DK8" s="41"/>
      <c r="DL8" s="41"/>
      <c r="DM8" s="41"/>
      <c r="DN8" s="42"/>
      <c r="DO8" s="42"/>
      <c r="DP8" s="42"/>
      <c r="DQ8" s="42"/>
      <c r="DR8" s="42"/>
      <c r="DS8" s="42"/>
      <c r="DT8" s="42"/>
      <c r="DU8" s="41"/>
      <c r="DV8" s="41"/>
      <c r="DW8" s="41"/>
      <c r="DX8" s="41"/>
      <c r="DY8" s="41"/>
      <c r="DZ8" s="41"/>
      <c r="EA8" s="41"/>
      <c r="EB8" s="42"/>
      <c r="EC8" s="42"/>
      <c r="ED8" s="42"/>
      <c r="EE8" s="42"/>
      <c r="EF8" s="42"/>
      <c r="EG8" s="42"/>
      <c r="EH8" s="42"/>
      <c r="EI8" s="41"/>
      <c r="EJ8" s="41"/>
      <c r="EK8" s="41"/>
      <c r="EL8" s="41"/>
      <c r="EM8" s="41"/>
      <c r="EN8" s="41"/>
      <c r="EO8" s="41"/>
      <c r="EP8" s="42"/>
      <c r="EQ8" s="42"/>
      <c r="ER8" s="42"/>
      <c r="ES8" s="42"/>
      <c r="ET8" s="42"/>
      <c r="EU8" s="42"/>
      <c r="EV8" s="42"/>
      <c r="EW8" s="41"/>
      <c r="EX8" s="41"/>
      <c r="EY8" s="41"/>
      <c r="EZ8" s="41"/>
      <c r="FA8" s="41"/>
      <c r="FB8" s="41"/>
      <c r="FC8" s="41"/>
      <c r="FD8" s="42"/>
      <c r="FE8" s="42"/>
      <c r="FF8" s="42"/>
      <c r="FG8" s="42"/>
      <c r="FH8" s="42"/>
      <c r="FI8" s="42"/>
      <c r="FJ8" s="42"/>
      <c r="FK8" s="41"/>
      <c r="FL8" s="41"/>
      <c r="FM8" s="41"/>
      <c r="FN8" s="41"/>
      <c r="FO8" s="41"/>
      <c r="FP8" s="41"/>
      <c r="FQ8" s="41"/>
      <c r="FR8" s="42"/>
      <c r="FS8" s="42"/>
      <c r="FT8" s="42"/>
      <c r="FU8" s="42"/>
      <c r="FV8" s="42"/>
      <c r="FW8" s="42"/>
      <c r="FX8" s="42"/>
      <c r="FY8" s="41"/>
      <c r="FZ8" s="41"/>
      <c r="GA8" s="41"/>
      <c r="GB8" s="41"/>
      <c r="GC8" s="41"/>
      <c r="GD8" s="41"/>
      <c r="GE8" s="41"/>
      <c r="GF8" s="42"/>
      <c r="GG8" s="42"/>
      <c r="GH8" s="42"/>
      <c r="GI8" s="42"/>
      <c r="GJ8" s="42"/>
    </row>
    <row r="9" spans="1:194" s="28" customFormat="1" ht="88.15" customHeight="1" thickBot="1">
      <c r="A9" s="166" t="s">
        <v>14</v>
      </c>
      <c r="B9" s="154" t="s">
        <v>15</v>
      </c>
      <c r="C9" s="129" t="s">
        <v>16</v>
      </c>
      <c r="D9" s="130">
        <v>0</v>
      </c>
      <c r="E9" s="131">
        <v>45969</v>
      </c>
      <c r="F9" s="118">
        <v>45976</v>
      </c>
      <c r="G9" s="164" t="s">
        <v>17</v>
      </c>
      <c r="H9" s="102" t="s">
        <v>18</v>
      </c>
      <c r="I9" s="36"/>
      <c r="J9" s="108">
        <f t="shared" ca="1" si="13"/>
        <v>8</v>
      </c>
      <c r="L9" s="53"/>
      <c r="M9" s="53"/>
      <c r="N9" s="109"/>
      <c r="O9" s="53"/>
      <c r="P9" s="109"/>
      <c r="Q9" s="53"/>
      <c r="R9" s="53"/>
      <c r="S9" s="53"/>
      <c r="T9" s="53"/>
      <c r="U9" s="53"/>
      <c r="V9" s="53"/>
      <c r="W9" s="53"/>
      <c r="X9" s="110"/>
      <c r="Y9" s="111"/>
      <c r="Z9" s="110"/>
      <c r="AA9" s="110"/>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112"/>
      <c r="BP9" s="112"/>
      <c r="BQ9" s="112"/>
      <c r="BR9" s="112"/>
      <c r="BS9" s="112"/>
      <c r="BT9" s="112"/>
      <c r="BU9" s="112"/>
      <c r="BV9" s="112"/>
      <c r="BW9" s="112"/>
      <c r="BX9" s="112"/>
      <c r="BY9" s="112"/>
      <c r="BZ9" s="112"/>
      <c r="CA9" s="112"/>
      <c r="CB9" s="112"/>
      <c r="CC9" s="112"/>
      <c r="CD9" s="112"/>
      <c r="CE9" s="112"/>
      <c r="CF9" s="112"/>
      <c r="CG9" s="112"/>
      <c r="CH9" s="112"/>
      <c r="CI9" s="112"/>
      <c r="CJ9" s="112"/>
      <c r="CK9" s="112"/>
      <c r="CL9" s="112"/>
      <c r="CM9" s="112"/>
      <c r="CN9" s="112"/>
      <c r="CO9" s="112"/>
      <c r="CP9" s="112"/>
      <c r="CQ9" s="112"/>
      <c r="CR9" s="112"/>
      <c r="CS9" s="112"/>
      <c r="CT9" s="112"/>
      <c r="CU9" s="112"/>
      <c r="CV9" s="112"/>
      <c r="CW9" s="112"/>
      <c r="CX9" s="112"/>
      <c r="CY9" s="112"/>
      <c r="CZ9" s="112"/>
      <c r="DA9" s="112"/>
      <c r="DB9" s="112"/>
      <c r="DC9" s="112"/>
      <c r="DD9" s="112"/>
      <c r="DE9" s="112"/>
      <c r="DF9" s="112"/>
      <c r="DG9" s="112"/>
      <c r="DH9" s="112"/>
      <c r="DI9" s="112"/>
      <c r="DJ9" s="112"/>
      <c r="DK9" s="112"/>
      <c r="DL9" s="112"/>
      <c r="DM9" s="112"/>
      <c r="DN9" s="112"/>
      <c r="DO9" s="112"/>
      <c r="DP9" s="112"/>
      <c r="DQ9" s="112"/>
      <c r="DR9" s="112"/>
      <c r="DS9" s="112"/>
      <c r="DT9" s="112"/>
      <c r="DU9" s="112"/>
      <c r="DV9" s="112"/>
      <c r="DW9" s="112"/>
      <c r="DX9" s="112"/>
      <c r="DY9" s="112"/>
      <c r="DZ9" s="112"/>
      <c r="EA9" s="112"/>
      <c r="EB9" s="112"/>
      <c r="EC9" s="112"/>
      <c r="ED9" s="112"/>
      <c r="EE9" s="112"/>
      <c r="EF9" s="112"/>
      <c r="EG9" s="112"/>
      <c r="EH9" s="112"/>
      <c r="EI9" s="112"/>
      <c r="EJ9" s="112"/>
      <c r="EK9" s="112"/>
      <c r="EL9" s="112"/>
      <c r="EM9" s="112"/>
      <c r="EN9" s="112"/>
      <c r="EO9" s="112"/>
      <c r="EP9" s="112"/>
      <c r="EQ9" s="112"/>
      <c r="ER9" s="112"/>
      <c r="ES9" s="112"/>
      <c r="ET9" s="112"/>
      <c r="EU9" s="112"/>
      <c r="EV9" s="112"/>
      <c r="EW9" s="112"/>
      <c r="EX9" s="112"/>
      <c r="EY9" s="112"/>
      <c r="EZ9" s="112"/>
      <c r="FA9" s="112"/>
      <c r="FB9" s="112"/>
      <c r="FC9" s="112"/>
      <c r="FD9" s="112"/>
      <c r="FE9" s="112"/>
      <c r="FF9" s="112"/>
      <c r="FG9" s="112"/>
      <c r="FH9" s="112"/>
      <c r="FI9" s="112"/>
      <c r="FJ9" s="112"/>
      <c r="FK9" s="112"/>
      <c r="FL9" s="112"/>
      <c r="FM9" s="112"/>
      <c r="FN9" s="112"/>
      <c r="FO9" s="112"/>
      <c r="FP9" s="112"/>
      <c r="FQ9" s="112"/>
      <c r="FR9" s="112"/>
      <c r="FS9" s="112"/>
      <c r="FT9" s="112"/>
      <c r="FU9" s="112"/>
      <c r="FV9" s="112"/>
      <c r="FW9" s="112"/>
      <c r="FX9" s="112"/>
      <c r="FY9" s="112"/>
      <c r="FZ9" s="112"/>
      <c r="GA9" s="112"/>
      <c r="GB9" s="112"/>
      <c r="GC9" s="112"/>
      <c r="GD9" s="112"/>
      <c r="GE9" s="112"/>
      <c r="GF9" s="112"/>
      <c r="GG9" s="112"/>
      <c r="GH9" s="112"/>
      <c r="GI9" s="112"/>
      <c r="GJ9" s="112"/>
    </row>
    <row r="10" spans="1:194" s="114" customFormat="1" ht="87" customHeight="1" thickBot="1">
      <c r="A10" s="166"/>
      <c r="B10" s="154"/>
      <c r="C10" s="132" t="s">
        <v>16</v>
      </c>
      <c r="D10" s="105">
        <v>1</v>
      </c>
      <c r="E10" s="117">
        <v>45964</v>
      </c>
      <c r="F10" s="126">
        <v>45968</v>
      </c>
      <c r="G10" s="165"/>
      <c r="H10" s="107" t="s">
        <v>19</v>
      </c>
      <c r="I10" s="36"/>
      <c r="J10" s="108"/>
      <c r="L10" s="115"/>
      <c r="M10" s="112"/>
      <c r="N10" s="116"/>
      <c r="O10" s="112"/>
      <c r="P10" s="116"/>
      <c r="Q10" s="112"/>
      <c r="R10" s="112"/>
      <c r="S10" s="112"/>
      <c r="T10" s="112"/>
      <c r="U10" s="112"/>
      <c r="V10" s="112"/>
      <c r="W10" s="116"/>
      <c r="Y10" s="66"/>
      <c r="AB10" s="115"/>
      <c r="AC10" s="112"/>
      <c r="AD10" s="112"/>
      <c r="AE10" s="112"/>
      <c r="AF10" s="112"/>
      <c r="AG10" s="112"/>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c r="BM10" s="112"/>
      <c r="BN10" s="112"/>
      <c r="BO10" s="112"/>
      <c r="BP10" s="112"/>
      <c r="BQ10" s="112"/>
      <c r="BR10" s="112"/>
      <c r="BS10" s="112"/>
      <c r="BT10" s="112"/>
      <c r="BU10" s="112"/>
      <c r="BV10" s="112"/>
      <c r="BW10" s="112"/>
      <c r="BX10" s="112"/>
      <c r="BY10" s="112"/>
      <c r="BZ10" s="112"/>
      <c r="CA10" s="112"/>
      <c r="CB10" s="112"/>
      <c r="CC10" s="112"/>
      <c r="CD10" s="112"/>
      <c r="CE10" s="112"/>
      <c r="CF10" s="112"/>
      <c r="CG10" s="112"/>
      <c r="CH10" s="112"/>
      <c r="CI10" s="112"/>
      <c r="CJ10" s="112"/>
      <c r="CK10" s="112"/>
      <c r="CL10" s="112"/>
      <c r="CM10" s="112"/>
      <c r="CN10" s="112"/>
      <c r="CO10" s="112"/>
      <c r="CP10" s="112"/>
      <c r="CQ10" s="112"/>
      <c r="CR10" s="112"/>
      <c r="CS10" s="112"/>
      <c r="CT10" s="112"/>
      <c r="CU10" s="112"/>
      <c r="CV10" s="112"/>
      <c r="CW10" s="112"/>
      <c r="CX10" s="112"/>
      <c r="CY10" s="112"/>
      <c r="CZ10" s="112"/>
      <c r="DA10" s="112"/>
      <c r="DB10" s="112"/>
      <c r="DC10" s="112"/>
      <c r="DD10" s="112"/>
      <c r="DE10" s="112"/>
      <c r="DF10" s="112"/>
      <c r="DG10" s="112"/>
      <c r="DH10" s="112"/>
      <c r="DI10" s="112"/>
      <c r="DJ10" s="112"/>
      <c r="DK10" s="112"/>
      <c r="DL10" s="112"/>
      <c r="DM10" s="112"/>
      <c r="DN10" s="112"/>
      <c r="DO10" s="112"/>
      <c r="DP10" s="112"/>
      <c r="DQ10" s="112"/>
      <c r="DR10" s="112"/>
      <c r="DS10" s="112"/>
      <c r="DT10" s="112"/>
      <c r="DU10" s="112"/>
      <c r="DV10" s="112"/>
      <c r="DW10" s="112"/>
      <c r="DX10" s="112"/>
      <c r="DY10" s="112"/>
      <c r="DZ10" s="112"/>
      <c r="EA10" s="112"/>
      <c r="EB10" s="112"/>
      <c r="EC10" s="112"/>
      <c r="ED10" s="112"/>
      <c r="EE10" s="112"/>
      <c r="EF10" s="112"/>
      <c r="EG10" s="112"/>
      <c r="EH10" s="112"/>
      <c r="EI10" s="112"/>
      <c r="EJ10" s="112"/>
      <c r="EK10" s="112"/>
      <c r="EL10" s="112"/>
      <c r="EM10" s="112"/>
      <c r="EN10" s="112"/>
      <c r="EO10" s="112"/>
      <c r="EP10" s="112"/>
      <c r="EQ10" s="112"/>
      <c r="ER10" s="112"/>
      <c r="ES10" s="112"/>
      <c r="ET10" s="112"/>
      <c r="EU10" s="112"/>
      <c r="EV10" s="112"/>
      <c r="EW10" s="112"/>
      <c r="EX10" s="112"/>
      <c r="EY10" s="112"/>
      <c r="EZ10" s="112"/>
      <c r="FA10" s="112"/>
      <c r="FB10" s="112"/>
      <c r="FC10" s="112"/>
      <c r="FD10" s="112"/>
      <c r="FE10" s="112"/>
      <c r="FF10" s="112"/>
      <c r="FG10" s="112"/>
      <c r="FH10" s="112"/>
      <c r="FI10" s="112"/>
      <c r="FJ10" s="112"/>
      <c r="FK10" s="112"/>
      <c r="FL10" s="112"/>
      <c r="FM10" s="112"/>
      <c r="FN10" s="112"/>
      <c r="FO10" s="112"/>
      <c r="FP10" s="112"/>
      <c r="FQ10" s="112"/>
      <c r="FR10" s="112"/>
      <c r="FS10" s="112"/>
      <c r="FT10" s="112"/>
      <c r="FU10" s="112"/>
      <c r="FV10" s="112"/>
      <c r="FW10" s="112"/>
      <c r="FX10" s="112"/>
      <c r="FY10" s="112"/>
      <c r="FZ10" s="112"/>
      <c r="GA10" s="112"/>
      <c r="GB10" s="112"/>
      <c r="GC10" s="112"/>
      <c r="GD10" s="112"/>
      <c r="GE10" s="112"/>
      <c r="GF10" s="112"/>
      <c r="GG10" s="112"/>
      <c r="GH10" s="112"/>
      <c r="GI10" s="112"/>
      <c r="GJ10" s="112"/>
    </row>
    <row r="11" spans="1:194" s="28" customFormat="1" ht="88.15" customHeight="1" thickBot="1">
      <c r="A11" s="166"/>
      <c r="B11" s="154"/>
      <c r="C11" s="133" t="s">
        <v>16</v>
      </c>
      <c r="D11" s="105">
        <v>1</v>
      </c>
      <c r="E11" s="106">
        <v>45964</v>
      </c>
      <c r="F11" s="125">
        <v>45968</v>
      </c>
      <c r="G11" s="165"/>
      <c r="H11" s="102" t="s">
        <v>20</v>
      </c>
      <c r="I11" s="36"/>
      <c r="J11" s="3">
        <f t="shared" ca="1" si="13"/>
        <v>5</v>
      </c>
      <c r="K11" s="29"/>
      <c r="L11" s="44"/>
      <c r="M11" s="29"/>
      <c r="N11" s="43"/>
      <c r="O11" s="29"/>
      <c r="P11" s="43"/>
      <c r="Q11" s="29"/>
      <c r="R11" s="29"/>
      <c r="S11" s="29"/>
      <c r="T11" s="29"/>
      <c r="U11" s="29"/>
      <c r="V11" s="29"/>
      <c r="W11" s="63"/>
      <c r="X11" s="64"/>
      <c r="Y11" s="66"/>
      <c r="AB11" s="44"/>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row>
    <row r="12" spans="1:194" s="28" customFormat="1" ht="53.25" thickBot="1">
      <c r="A12" s="166"/>
      <c r="B12" s="155"/>
      <c r="C12" s="104" t="s">
        <v>16</v>
      </c>
      <c r="D12" s="105">
        <v>0</v>
      </c>
      <c r="E12" s="106">
        <v>45964</v>
      </c>
      <c r="F12" s="106">
        <v>45971</v>
      </c>
      <c r="G12" s="127" t="s">
        <v>21</v>
      </c>
      <c r="H12" s="128" t="s">
        <v>22</v>
      </c>
      <c r="I12" s="36"/>
      <c r="J12" s="3">
        <f t="shared" ca="1" si="13"/>
        <v>8</v>
      </c>
      <c r="K12" s="29"/>
      <c r="L12" s="44"/>
      <c r="M12" s="29"/>
      <c r="N12" s="43"/>
      <c r="O12" s="29"/>
      <c r="P12" s="43"/>
      <c r="Q12" s="29"/>
      <c r="R12" s="29"/>
      <c r="S12" s="29"/>
      <c r="T12" s="29"/>
      <c r="U12" s="29"/>
      <c r="V12" s="29"/>
      <c r="W12" s="29"/>
      <c r="X12" s="29"/>
      <c r="Y12" s="67"/>
      <c r="Z12" s="29"/>
      <c r="AA12" s="30"/>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34"/>
      <c r="FH12" s="34"/>
      <c r="FI12" s="34"/>
      <c r="FJ12" s="34"/>
      <c r="FK12" s="34"/>
      <c r="FL12" s="34"/>
      <c r="FM12" s="34"/>
      <c r="FN12" s="34"/>
      <c r="FO12" s="34"/>
      <c r="FP12" s="34"/>
      <c r="FQ12" s="34"/>
      <c r="FR12" s="34"/>
      <c r="FS12" s="34"/>
      <c r="FT12" s="34"/>
      <c r="FU12" s="34"/>
      <c r="FV12" s="34"/>
      <c r="FW12" s="34"/>
      <c r="FX12" s="34"/>
      <c r="FY12" s="34"/>
      <c r="FZ12" s="34"/>
      <c r="GA12" s="34"/>
      <c r="GB12" s="34"/>
      <c r="GC12" s="34"/>
      <c r="GD12" s="34"/>
      <c r="GE12" s="34"/>
      <c r="GF12" s="34"/>
      <c r="GG12" s="34"/>
      <c r="GH12" s="34"/>
      <c r="GI12" s="34"/>
      <c r="GJ12" s="34"/>
    </row>
    <row r="13" spans="1:194" s="28" customFormat="1" ht="106.15" thickBot="1">
      <c r="A13" s="167" t="s">
        <v>23</v>
      </c>
      <c r="B13" s="156" t="s">
        <v>24</v>
      </c>
      <c r="C13" s="87" t="s">
        <v>25</v>
      </c>
      <c r="D13" s="88"/>
      <c r="E13" s="89"/>
      <c r="F13" s="89"/>
      <c r="G13" s="100" t="s">
        <v>26</v>
      </c>
      <c r="H13" s="101" t="s">
        <v>27</v>
      </c>
      <c r="I13" s="36"/>
      <c r="J13" s="3" t="str">
        <f t="shared" ca="1" si="13"/>
        <v/>
      </c>
      <c r="K13" s="29"/>
      <c r="L13" s="44"/>
      <c r="M13" s="29"/>
      <c r="N13" s="43"/>
      <c r="O13" s="29"/>
      <c r="P13" s="43"/>
      <c r="Q13" s="29"/>
      <c r="R13" s="29"/>
      <c r="S13" s="29"/>
      <c r="T13" s="29"/>
      <c r="U13" s="29"/>
      <c r="V13" s="29"/>
      <c r="W13" s="29"/>
      <c r="X13" s="29"/>
      <c r="Y13" s="67"/>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4"/>
      <c r="FY13" s="34"/>
      <c r="FZ13" s="34"/>
      <c r="GA13" s="34"/>
      <c r="GB13" s="34"/>
      <c r="GC13" s="34"/>
      <c r="GD13" s="34"/>
      <c r="GE13" s="34"/>
      <c r="GF13" s="34"/>
      <c r="GG13" s="34"/>
      <c r="GH13" s="34"/>
      <c r="GI13" s="34"/>
      <c r="GJ13" s="34"/>
    </row>
    <row r="14" spans="1:194" s="28" customFormat="1" ht="88.15" customHeight="1" thickBot="1">
      <c r="A14" s="167"/>
      <c r="B14" s="156"/>
      <c r="C14" s="121" t="s">
        <v>28</v>
      </c>
      <c r="D14" s="88"/>
      <c r="E14" s="89"/>
      <c r="F14" s="89"/>
      <c r="G14" s="158" t="s">
        <v>29</v>
      </c>
      <c r="H14" s="119" t="s">
        <v>30</v>
      </c>
      <c r="I14" s="36"/>
      <c r="J14" s="3"/>
      <c r="K14" s="29"/>
      <c r="L14" s="44"/>
      <c r="M14" s="29"/>
      <c r="N14" s="43"/>
      <c r="O14" s="29"/>
      <c r="P14" s="43"/>
      <c r="Q14" s="29"/>
      <c r="R14" s="29"/>
      <c r="S14" s="29"/>
      <c r="T14" s="29"/>
      <c r="U14" s="29"/>
      <c r="V14" s="29"/>
      <c r="W14" s="29"/>
      <c r="X14" s="29"/>
      <c r="Y14" s="67"/>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row>
    <row r="15" spans="1:194" s="28" customFormat="1" ht="88.15" customHeight="1" thickBot="1">
      <c r="A15" s="167"/>
      <c r="B15" s="156"/>
      <c r="C15" s="120" t="s">
        <v>25</v>
      </c>
      <c r="D15" s="88"/>
      <c r="E15" s="89"/>
      <c r="F15" s="89"/>
      <c r="G15" s="159"/>
      <c r="H15" s="101" t="s">
        <v>31</v>
      </c>
      <c r="I15" s="36"/>
      <c r="J15" s="3"/>
      <c r="K15" s="29"/>
      <c r="L15" s="44"/>
      <c r="M15" s="29"/>
      <c r="N15" s="43"/>
      <c r="O15" s="29"/>
      <c r="P15" s="43"/>
      <c r="Q15" s="29"/>
      <c r="R15" s="29"/>
      <c r="S15" s="29"/>
      <c r="T15" s="29"/>
      <c r="U15" s="29"/>
      <c r="V15" s="29"/>
      <c r="W15" s="29"/>
      <c r="X15" s="29"/>
      <c r="Y15" s="67"/>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row>
    <row r="16" spans="1:194" s="28" customFormat="1" ht="88.15" customHeight="1" thickBot="1">
      <c r="A16" s="167"/>
      <c r="B16" s="156"/>
      <c r="C16" s="87" t="s">
        <v>32</v>
      </c>
      <c r="D16" s="88"/>
      <c r="E16" s="90"/>
      <c r="F16" s="91"/>
      <c r="G16" s="160"/>
      <c r="H16" s="101" t="s">
        <v>33</v>
      </c>
      <c r="I16" s="36"/>
      <c r="J16" s="3" t="str">
        <f t="shared" ca="1" si="13"/>
        <v/>
      </c>
      <c r="K16" s="29"/>
      <c r="L16" s="141"/>
      <c r="M16" s="141"/>
      <c r="N16" s="141"/>
      <c r="O16" s="43"/>
      <c r="P16" s="43"/>
      <c r="Q16" s="141"/>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1"/>
      <c r="BP16" s="141"/>
      <c r="BQ16" s="141"/>
      <c r="BR16" s="141"/>
      <c r="BS16" s="141"/>
      <c r="BT16" s="141"/>
      <c r="BU16" s="141"/>
      <c r="BV16" s="141"/>
      <c r="BW16" s="141"/>
      <c r="BX16" s="141"/>
      <c r="BY16" s="141"/>
      <c r="BZ16" s="141"/>
      <c r="CA16" s="141"/>
      <c r="CB16" s="141"/>
      <c r="CC16" s="141"/>
      <c r="CD16" s="141"/>
      <c r="CE16" s="141"/>
      <c r="CF16" s="141"/>
      <c r="CG16" s="141"/>
      <c r="CH16" s="141"/>
      <c r="CI16" s="141"/>
      <c r="CJ16" s="141"/>
      <c r="CK16" s="141"/>
      <c r="CL16" s="141"/>
      <c r="CM16" s="141"/>
      <c r="CN16" s="141"/>
      <c r="CO16" s="141"/>
      <c r="CP16" s="141"/>
      <c r="CQ16" s="141"/>
      <c r="CR16" s="141"/>
      <c r="CS16" s="141"/>
      <c r="CT16" s="141"/>
      <c r="CU16" s="141"/>
      <c r="CV16" s="141"/>
      <c r="CW16" s="141"/>
      <c r="CX16" s="141"/>
      <c r="CY16" s="141"/>
      <c r="CZ16" s="141"/>
      <c r="DA16" s="141"/>
      <c r="DB16" s="141"/>
      <c r="DC16" s="141"/>
      <c r="DD16" s="141"/>
      <c r="DE16" s="141"/>
      <c r="DF16" s="141"/>
      <c r="DG16" s="141"/>
      <c r="DH16" s="141"/>
      <c r="DI16" s="141"/>
      <c r="DJ16" s="141"/>
      <c r="DK16" s="141"/>
      <c r="DL16" s="141"/>
      <c r="DM16" s="141"/>
      <c r="DN16" s="141"/>
      <c r="DO16" s="141"/>
      <c r="DP16" s="141"/>
      <c r="DQ16" s="141"/>
      <c r="DR16" s="141"/>
      <c r="DS16" s="141"/>
      <c r="DT16" s="141"/>
      <c r="DU16" s="141"/>
      <c r="DV16" s="141"/>
      <c r="DW16" s="141"/>
      <c r="DX16" s="141"/>
      <c r="DY16" s="141"/>
      <c r="DZ16" s="141"/>
      <c r="EA16" s="141"/>
      <c r="EB16" s="141"/>
      <c r="EC16" s="141"/>
      <c r="ED16" s="141"/>
      <c r="EE16" s="141"/>
      <c r="EF16" s="141"/>
      <c r="EG16" s="141"/>
      <c r="EH16" s="141"/>
      <c r="EI16" s="141"/>
      <c r="EJ16" s="141"/>
      <c r="EK16" s="141"/>
      <c r="EL16" s="141"/>
      <c r="EM16" s="141"/>
      <c r="EN16" s="141"/>
      <c r="EO16" s="141"/>
      <c r="EP16" s="141"/>
      <c r="EQ16" s="141"/>
      <c r="ER16" s="141"/>
      <c r="ES16" s="141"/>
      <c r="ET16" s="141"/>
      <c r="EU16" s="141"/>
      <c r="EV16" s="141"/>
      <c r="EW16" s="141"/>
      <c r="EX16" s="141"/>
      <c r="EY16" s="141"/>
      <c r="EZ16" s="141"/>
      <c r="FA16" s="141"/>
      <c r="FB16" s="141"/>
      <c r="FC16" s="141"/>
      <c r="FD16" s="141"/>
      <c r="FE16" s="141"/>
      <c r="FF16" s="141"/>
      <c r="FG16" s="141"/>
      <c r="FH16" s="141"/>
      <c r="FI16" s="141"/>
      <c r="FJ16" s="141"/>
      <c r="FK16" s="141"/>
      <c r="FL16" s="141"/>
      <c r="FM16" s="141"/>
      <c r="FN16" s="141"/>
      <c r="FO16" s="141"/>
      <c r="FP16" s="141"/>
      <c r="FQ16" s="141"/>
      <c r="FR16" s="141"/>
      <c r="FS16" s="141"/>
      <c r="FT16" s="141"/>
      <c r="FU16" s="141"/>
      <c r="FV16" s="141"/>
      <c r="FW16" s="141"/>
      <c r="FX16" s="141"/>
      <c r="FY16" s="141"/>
      <c r="FZ16" s="141"/>
      <c r="GA16" s="141"/>
      <c r="GB16" s="141"/>
      <c r="GC16" s="141"/>
      <c r="GD16" s="141"/>
      <c r="GE16" s="141"/>
      <c r="GF16" s="141"/>
      <c r="GG16" s="141"/>
      <c r="GH16" s="141"/>
      <c r="GI16" s="141"/>
      <c r="GJ16" s="141"/>
    </row>
    <row r="17" spans="1:193" s="28" customFormat="1" ht="88.15" customHeight="1" thickBot="1">
      <c r="A17" s="167"/>
      <c r="B17" s="156"/>
      <c r="C17" s="87" t="s">
        <v>34</v>
      </c>
      <c r="D17" s="88"/>
      <c r="E17" s="89"/>
      <c r="F17" s="89"/>
      <c r="G17" s="113" t="s">
        <v>35</v>
      </c>
      <c r="H17" s="119" t="s">
        <v>36</v>
      </c>
      <c r="I17" s="36"/>
      <c r="J17" s="3" t="str">
        <f t="shared" ca="1" si="13"/>
        <v/>
      </c>
      <c r="K17" s="29"/>
      <c r="L17" s="44"/>
      <c r="M17" s="29"/>
      <c r="N17" s="43"/>
      <c r="O17" s="29"/>
      <c r="P17" s="43"/>
      <c r="Q17" s="29"/>
      <c r="R17" s="29"/>
      <c r="S17" s="29"/>
      <c r="T17" s="29"/>
      <c r="U17" s="29"/>
      <c r="V17" s="29"/>
      <c r="W17" s="29"/>
      <c r="X17" s="29"/>
      <c r="Y17" s="67"/>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4"/>
      <c r="FY17" s="34"/>
      <c r="FZ17" s="34"/>
      <c r="GA17" s="34"/>
      <c r="GB17" s="34"/>
      <c r="GC17" s="34"/>
      <c r="GD17" s="34"/>
      <c r="GE17" s="34"/>
      <c r="GF17" s="34"/>
      <c r="GG17" s="34"/>
      <c r="GH17" s="34"/>
      <c r="GI17" s="34"/>
      <c r="GJ17" s="34"/>
    </row>
    <row r="18" spans="1:193" s="28" customFormat="1" ht="88.15" customHeight="1" thickBot="1">
      <c r="A18" s="167"/>
      <c r="B18" s="156"/>
      <c r="C18" s="87" t="s">
        <v>34</v>
      </c>
      <c r="D18" s="88"/>
      <c r="E18" s="89"/>
      <c r="F18" s="89"/>
      <c r="G18" s="113" t="s">
        <v>37</v>
      </c>
      <c r="H18" s="119" t="s">
        <v>38</v>
      </c>
      <c r="I18" s="36"/>
      <c r="J18" s="3" t="str">
        <f t="shared" ca="1" si="13"/>
        <v/>
      </c>
      <c r="K18" s="29"/>
      <c r="L18" s="44"/>
      <c r="M18" s="29"/>
      <c r="N18" s="43"/>
      <c r="O18" s="29"/>
      <c r="P18" s="43"/>
      <c r="Q18" s="29"/>
      <c r="R18" s="29"/>
      <c r="S18" s="29"/>
      <c r="T18" s="29"/>
      <c r="U18" s="29"/>
      <c r="V18" s="29"/>
      <c r="W18" s="30"/>
      <c r="X18" s="30"/>
      <c r="Y18" s="67"/>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c r="FS18" s="34"/>
      <c r="FT18" s="34"/>
      <c r="FU18" s="34"/>
      <c r="FV18" s="34"/>
      <c r="FW18" s="34"/>
      <c r="FX18" s="34"/>
      <c r="FY18" s="34"/>
      <c r="FZ18" s="34"/>
      <c r="GA18" s="34"/>
      <c r="GB18" s="34"/>
      <c r="GC18" s="34"/>
      <c r="GD18" s="34"/>
      <c r="GE18" s="34"/>
      <c r="GF18" s="34"/>
      <c r="GG18" s="34"/>
      <c r="GH18" s="34"/>
      <c r="GI18" s="34"/>
      <c r="GJ18" s="34"/>
    </row>
    <row r="19" spans="1:193" s="28" customFormat="1" ht="88.5" thickBot="1">
      <c r="A19" s="168" t="s">
        <v>39</v>
      </c>
      <c r="B19" s="153" t="s">
        <v>40</v>
      </c>
      <c r="C19" s="78" t="s">
        <v>41</v>
      </c>
      <c r="D19" s="79"/>
      <c r="E19" s="80"/>
      <c r="F19" s="80"/>
      <c r="G19" s="161" t="s">
        <v>42</v>
      </c>
      <c r="H19" s="122" t="s">
        <v>43</v>
      </c>
      <c r="I19" s="36"/>
      <c r="J19" s="3" t="str">
        <f t="shared" ca="1" si="13"/>
        <v/>
      </c>
      <c r="K19" s="29"/>
      <c r="L19" s="44"/>
      <c r="M19" s="29"/>
      <c r="N19" s="43"/>
      <c r="O19" s="29"/>
      <c r="P19" s="44"/>
      <c r="Q19" s="29"/>
      <c r="R19" s="29"/>
      <c r="S19" s="29"/>
      <c r="T19" s="29"/>
      <c r="U19" s="29"/>
      <c r="V19" s="29"/>
      <c r="W19" s="29"/>
      <c r="X19" s="29"/>
      <c r="Y19" s="67"/>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34"/>
      <c r="FB19" s="34"/>
      <c r="FC19" s="34"/>
      <c r="FD19" s="34"/>
      <c r="FE19" s="34"/>
      <c r="FF19" s="34"/>
      <c r="FG19" s="34"/>
      <c r="FH19" s="34"/>
      <c r="FI19" s="34"/>
      <c r="FJ19" s="34"/>
      <c r="FK19" s="34"/>
      <c r="FL19" s="34"/>
      <c r="FM19" s="34"/>
      <c r="FN19" s="34"/>
      <c r="FO19" s="34"/>
      <c r="FP19" s="34"/>
      <c r="FQ19" s="34"/>
      <c r="FR19" s="34"/>
      <c r="FS19" s="34"/>
      <c r="FT19" s="34"/>
      <c r="FU19" s="34"/>
      <c r="FV19" s="34"/>
      <c r="FW19" s="34"/>
      <c r="FX19" s="34"/>
      <c r="FY19" s="34"/>
      <c r="FZ19" s="34"/>
      <c r="GA19" s="34"/>
      <c r="GB19" s="34"/>
      <c r="GC19" s="34"/>
      <c r="GD19" s="34"/>
      <c r="GE19" s="34"/>
      <c r="GF19" s="34"/>
      <c r="GG19" s="34"/>
      <c r="GH19" s="34"/>
      <c r="GI19" s="34"/>
      <c r="GJ19" s="34"/>
    </row>
    <row r="20" spans="1:193" s="28" customFormat="1" ht="88.15" customHeight="1" thickBot="1">
      <c r="A20" s="168"/>
      <c r="B20" s="153"/>
      <c r="C20" s="78" t="s">
        <v>44</v>
      </c>
      <c r="D20" s="79"/>
      <c r="E20" s="80"/>
      <c r="F20" s="80"/>
      <c r="G20" s="162"/>
      <c r="H20" s="122" t="s">
        <v>45</v>
      </c>
      <c r="I20" s="36"/>
      <c r="J20" s="3" t="str">
        <f t="shared" ca="1" si="13"/>
        <v/>
      </c>
      <c r="K20" s="29"/>
      <c r="L20" s="44"/>
      <c r="M20" s="29"/>
      <c r="N20" s="43"/>
      <c r="O20" s="29"/>
      <c r="P20" s="44"/>
      <c r="Q20" s="29"/>
      <c r="R20" s="29"/>
      <c r="S20" s="29"/>
      <c r="T20" s="29"/>
      <c r="U20" s="29"/>
      <c r="V20" s="29"/>
      <c r="W20" s="29"/>
      <c r="X20" s="29"/>
      <c r="Y20" s="34"/>
      <c r="Z20" s="29"/>
      <c r="AA20" s="34"/>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c r="EZ20" s="34"/>
      <c r="FA20" s="34"/>
      <c r="FB20" s="34"/>
      <c r="FC20" s="34"/>
      <c r="FD20" s="34"/>
      <c r="FE20" s="34"/>
      <c r="FF20" s="34"/>
      <c r="FG20" s="34"/>
      <c r="FH20" s="34"/>
      <c r="FI20" s="34"/>
      <c r="FJ20" s="34"/>
      <c r="FK20" s="34"/>
      <c r="FL20" s="34"/>
      <c r="FM20" s="34"/>
      <c r="FN20" s="34"/>
      <c r="FO20" s="34"/>
      <c r="FP20" s="34"/>
      <c r="FQ20" s="34"/>
      <c r="FR20" s="34"/>
      <c r="FS20" s="34"/>
      <c r="FT20" s="34"/>
      <c r="FU20" s="34"/>
      <c r="FV20" s="34"/>
      <c r="FW20" s="34"/>
      <c r="FX20" s="34"/>
      <c r="FY20" s="34"/>
      <c r="FZ20" s="34"/>
      <c r="GA20" s="34"/>
      <c r="GB20" s="34"/>
      <c r="GC20" s="34"/>
      <c r="GD20" s="34"/>
      <c r="GE20" s="34"/>
      <c r="GF20" s="34"/>
      <c r="GG20" s="34"/>
      <c r="GH20" s="34"/>
      <c r="GI20" s="34"/>
      <c r="GJ20" s="34"/>
    </row>
    <row r="21" spans="1:193" s="28" customFormat="1" ht="88.15" customHeight="1" thickBot="1">
      <c r="A21" s="168"/>
      <c r="B21" s="153"/>
      <c r="C21" s="78" t="s">
        <v>44</v>
      </c>
      <c r="D21" s="79"/>
      <c r="E21" s="80"/>
      <c r="F21" s="80"/>
      <c r="G21" s="162"/>
      <c r="H21" s="122" t="s">
        <v>46</v>
      </c>
      <c r="I21" s="36"/>
      <c r="J21" s="3" t="str">
        <f t="shared" ca="1" si="13"/>
        <v/>
      </c>
      <c r="K21" s="29"/>
      <c r="L21" s="44"/>
      <c r="M21" s="29"/>
      <c r="N21" s="43"/>
      <c r="O21" s="29"/>
      <c r="P21" s="44"/>
      <c r="Q21" s="29"/>
      <c r="R21" s="29"/>
      <c r="S21" s="29"/>
      <c r="T21" s="29"/>
      <c r="U21" s="29"/>
      <c r="V21" s="29"/>
      <c r="W21" s="29"/>
      <c r="X21" s="29"/>
      <c r="Y21" s="67"/>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c r="EJ21" s="34"/>
      <c r="EK21" s="34"/>
      <c r="EL21" s="34"/>
      <c r="EM21" s="34"/>
      <c r="EN21" s="34"/>
      <c r="EO21" s="34"/>
      <c r="EP21" s="34"/>
      <c r="EQ21" s="34"/>
      <c r="ER21" s="34"/>
      <c r="ES21" s="34"/>
      <c r="ET21" s="34"/>
      <c r="EU21" s="34"/>
      <c r="EV21" s="34"/>
      <c r="EW21" s="34"/>
      <c r="EX21" s="34"/>
      <c r="EY21" s="34"/>
      <c r="EZ21" s="34"/>
      <c r="FA21" s="34"/>
      <c r="FB21" s="34"/>
      <c r="FC21" s="34"/>
      <c r="FD21" s="34"/>
      <c r="FE21" s="34"/>
      <c r="FF21" s="34"/>
      <c r="FG21" s="34"/>
      <c r="FH21" s="34"/>
      <c r="FI21" s="34"/>
      <c r="FJ21" s="34"/>
      <c r="FK21" s="34"/>
      <c r="FL21" s="34"/>
      <c r="FM21" s="34"/>
      <c r="FN21" s="34"/>
      <c r="FO21" s="34"/>
      <c r="FP21" s="34"/>
      <c r="FQ21" s="34"/>
      <c r="FR21" s="34"/>
      <c r="FS21" s="34"/>
      <c r="FT21" s="34"/>
      <c r="FU21" s="34"/>
      <c r="FV21" s="34"/>
      <c r="FW21" s="34"/>
      <c r="FX21" s="34"/>
      <c r="FY21" s="34"/>
      <c r="FZ21" s="34"/>
      <c r="GA21" s="34"/>
      <c r="GB21" s="34"/>
      <c r="GC21" s="34"/>
      <c r="GD21" s="34"/>
      <c r="GE21" s="34"/>
      <c r="GF21" s="34"/>
      <c r="GG21" s="34"/>
      <c r="GH21" s="34"/>
      <c r="GI21" s="34"/>
      <c r="GJ21" s="34"/>
    </row>
    <row r="22" spans="1:193" s="28" customFormat="1" ht="88.15" customHeight="1" thickBot="1">
      <c r="A22" s="168"/>
      <c r="B22" s="153"/>
      <c r="C22" s="78" t="s">
        <v>44</v>
      </c>
      <c r="D22" s="79"/>
      <c r="E22" s="81"/>
      <c r="F22" s="82"/>
      <c r="G22" s="163"/>
      <c r="H22" s="99" t="s">
        <v>47</v>
      </c>
      <c r="I22" s="36"/>
      <c r="J22" s="3" t="str">
        <f t="shared" ca="1" si="13"/>
        <v/>
      </c>
      <c r="K22" s="29"/>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5"/>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c r="EJ22" s="34"/>
      <c r="EK22" s="34"/>
      <c r="EL22" s="34"/>
      <c r="EM22" s="34"/>
      <c r="EN22" s="34"/>
      <c r="EO22" s="34"/>
      <c r="EP22" s="34"/>
      <c r="EQ22" s="34"/>
      <c r="ER22" s="34"/>
      <c r="ES22" s="34"/>
      <c r="ET22" s="34"/>
      <c r="EU22" s="34"/>
      <c r="EV22" s="34"/>
      <c r="EW22" s="34"/>
      <c r="EX22" s="34"/>
      <c r="EY22" s="34"/>
      <c r="EZ22" s="34"/>
      <c r="FA22" s="34"/>
      <c r="FB22" s="34"/>
      <c r="FC22" s="34"/>
      <c r="FD22" s="34"/>
      <c r="FE22" s="34"/>
      <c r="FF22" s="34"/>
      <c r="FG22" s="34"/>
      <c r="FH22" s="34"/>
      <c r="FI22" s="34"/>
      <c r="FJ22" s="34"/>
      <c r="FK22" s="34"/>
      <c r="FL22" s="34"/>
      <c r="FM22" s="34"/>
      <c r="FN22" s="34"/>
      <c r="FO22" s="34"/>
      <c r="FP22" s="34"/>
      <c r="FQ22" s="34"/>
      <c r="FR22" s="34"/>
      <c r="FS22" s="34"/>
      <c r="FT22" s="34"/>
      <c r="FU22" s="34"/>
      <c r="FV22" s="34"/>
      <c r="FW22" s="34"/>
      <c r="FX22" s="34"/>
      <c r="FY22" s="34"/>
      <c r="FZ22" s="34"/>
      <c r="GA22" s="34"/>
      <c r="GB22" s="34"/>
      <c r="GC22" s="34"/>
      <c r="GD22" s="34"/>
      <c r="GE22" s="34"/>
      <c r="GF22" s="34"/>
      <c r="GG22" s="34"/>
      <c r="GH22" s="34"/>
      <c r="GI22" s="34"/>
      <c r="GJ22" s="34"/>
    </row>
    <row r="23" spans="1:193" s="28" customFormat="1" ht="88.15" customHeight="1" thickBot="1">
      <c r="A23" s="168"/>
      <c r="B23" s="153"/>
      <c r="C23" s="78" t="s">
        <v>44</v>
      </c>
      <c r="D23" s="79"/>
      <c r="E23" s="80"/>
      <c r="F23" s="80"/>
      <c r="G23" s="162" t="s">
        <v>48</v>
      </c>
      <c r="H23" s="123" t="s">
        <v>49</v>
      </c>
      <c r="I23" s="36"/>
      <c r="J23" s="3" t="str">
        <f t="shared" ca="1" si="13"/>
        <v/>
      </c>
      <c r="K23" s="29"/>
      <c r="L23" s="44"/>
      <c r="M23" s="29"/>
      <c r="N23" s="43"/>
      <c r="O23" s="29"/>
      <c r="P23" s="44"/>
      <c r="Q23" s="29"/>
      <c r="R23" s="29"/>
      <c r="S23" s="29"/>
      <c r="T23" s="29"/>
      <c r="U23" s="29"/>
      <c r="V23" s="29"/>
      <c r="W23" s="29"/>
      <c r="X23" s="29"/>
      <c r="Y23" s="67"/>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c r="FA23" s="34"/>
      <c r="FB23" s="34"/>
      <c r="FC23" s="34"/>
      <c r="FD23" s="34"/>
      <c r="FE23" s="34"/>
      <c r="FF23" s="34"/>
      <c r="FG23" s="34"/>
      <c r="FH23" s="34"/>
      <c r="FI23" s="34"/>
      <c r="FJ23" s="34"/>
      <c r="FK23" s="34"/>
      <c r="FL23" s="34"/>
      <c r="FM23" s="34"/>
      <c r="FN23" s="34"/>
      <c r="FO23" s="34"/>
      <c r="FP23" s="34"/>
      <c r="FQ23" s="34"/>
      <c r="FR23" s="34"/>
      <c r="FS23" s="34"/>
      <c r="FT23" s="34"/>
      <c r="FU23" s="34"/>
      <c r="FV23" s="34"/>
      <c r="FW23" s="34"/>
      <c r="FX23" s="34"/>
      <c r="FY23" s="34"/>
      <c r="FZ23" s="34"/>
      <c r="GA23" s="34"/>
      <c r="GB23" s="34"/>
      <c r="GC23" s="34"/>
      <c r="GD23" s="34"/>
      <c r="GE23" s="34"/>
      <c r="GF23" s="34"/>
      <c r="GG23" s="34"/>
      <c r="GH23" s="34"/>
      <c r="GI23" s="34"/>
      <c r="GJ23" s="34"/>
    </row>
    <row r="24" spans="1:193" s="28" customFormat="1" ht="52.5" thickBot="1">
      <c r="A24" s="168"/>
      <c r="B24" s="153"/>
      <c r="C24" s="78" t="s">
        <v>44</v>
      </c>
      <c r="D24" s="79"/>
      <c r="E24" s="80"/>
      <c r="F24" s="80"/>
      <c r="G24" s="162"/>
      <c r="H24" s="122" t="s">
        <v>50</v>
      </c>
      <c r="I24" s="36"/>
      <c r="J24" s="3" t="str">
        <f t="shared" ca="1" si="13"/>
        <v/>
      </c>
      <c r="K24" s="29"/>
      <c r="L24" s="44"/>
      <c r="M24" s="29"/>
      <c r="N24" s="43"/>
      <c r="O24" s="29"/>
      <c r="P24" s="44"/>
      <c r="Q24" s="29"/>
      <c r="R24" s="29"/>
      <c r="S24" s="29"/>
      <c r="T24" s="29"/>
      <c r="U24" s="29"/>
      <c r="V24" s="29"/>
      <c r="W24" s="29"/>
      <c r="X24" s="29"/>
      <c r="Y24" s="67"/>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c r="EL24" s="34"/>
      <c r="EM24" s="34"/>
      <c r="EN24" s="34"/>
      <c r="EO24" s="34"/>
      <c r="EP24" s="34"/>
      <c r="EQ24" s="34"/>
      <c r="ER24" s="34"/>
      <c r="ES24" s="34"/>
      <c r="ET24" s="34"/>
      <c r="EU24" s="34"/>
      <c r="EV24" s="34"/>
      <c r="EW24" s="34"/>
      <c r="EX24" s="34"/>
      <c r="EY24" s="34"/>
      <c r="EZ24" s="34"/>
      <c r="FA24" s="34"/>
      <c r="FB24" s="34"/>
      <c r="FC24" s="34"/>
      <c r="FD24" s="34"/>
      <c r="FE24" s="34"/>
      <c r="FF24" s="34"/>
      <c r="FG24" s="34"/>
      <c r="FH24" s="34"/>
      <c r="FI24" s="34"/>
      <c r="FJ24" s="34"/>
      <c r="FK24" s="34"/>
      <c r="FL24" s="34"/>
      <c r="FM24" s="34"/>
      <c r="FN24" s="34"/>
      <c r="FO24" s="34"/>
      <c r="FP24" s="34"/>
      <c r="FQ24" s="34"/>
      <c r="FR24" s="34"/>
      <c r="FS24" s="34"/>
      <c r="FT24" s="34"/>
      <c r="FU24" s="34"/>
      <c r="FV24" s="34"/>
      <c r="FW24" s="34"/>
      <c r="FX24" s="34"/>
      <c r="FY24" s="34"/>
      <c r="FZ24" s="34"/>
      <c r="GA24" s="34"/>
      <c r="GB24" s="34"/>
      <c r="GC24" s="34"/>
      <c r="GD24" s="34"/>
      <c r="GE24" s="34"/>
      <c r="GF24" s="34"/>
      <c r="GG24" s="34"/>
      <c r="GH24" s="34"/>
      <c r="GI24" s="34"/>
      <c r="GJ24" s="34"/>
    </row>
    <row r="25" spans="1:193" s="28" customFormat="1" ht="88.15" customHeight="1" thickBot="1">
      <c r="A25" s="168"/>
      <c r="B25" s="153"/>
      <c r="C25" s="78" t="s">
        <v>51</v>
      </c>
      <c r="D25" s="79"/>
      <c r="E25" s="80"/>
      <c r="F25" s="80"/>
      <c r="G25" s="163"/>
      <c r="H25" s="134" t="s">
        <v>52</v>
      </c>
      <c r="I25" s="36"/>
      <c r="J25" s="3" t="str">
        <f t="shared" ca="1" si="13"/>
        <v/>
      </c>
      <c r="K25" s="29"/>
      <c r="L25" s="44"/>
      <c r="M25" s="29"/>
      <c r="N25" s="43"/>
      <c r="O25" s="29"/>
      <c r="P25" s="44"/>
      <c r="Q25" s="29"/>
      <c r="R25" s="29"/>
      <c r="S25" s="29"/>
      <c r="T25" s="29"/>
      <c r="U25" s="29"/>
      <c r="V25" s="29"/>
      <c r="W25" s="29"/>
      <c r="X25" s="29"/>
      <c r="Y25" s="67"/>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c r="FA25" s="34"/>
      <c r="FB25" s="34"/>
      <c r="FC25" s="34"/>
      <c r="FD25" s="34"/>
      <c r="FE25" s="34"/>
      <c r="FF25" s="34"/>
      <c r="FG25" s="34"/>
      <c r="FH25" s="34"/>
      <c r="FI25" s="34"/>
      <c r="FJ25" s="34"/>
      <c r="FK25" s="34"/>
      <c r="FL25" s="34"/>
      <c r="FM25" s="34"/>
      <c r="FN25" s="34"/>
      <c r="FO25" s="34"/>
      <c r="FP25" s="34"/>
      <c r="FQ25" s="34"/>
      <c r="FR25" s="34"/>
      <c r="FS25" s="34"/>
      <c r="FT25" s="34"/>
      <c r="FU25" s="34"/>
      <c r="FV25" s="34"/>
      <c r="FW25" s="34"/>
      <c r="FX25" s="34"/>
      <c r="FY25" s="34"/>
      <c r="FZ25" s="34"/>
      <c r="GA25" s="34"/>
      <c r="GB25" s="34"/>
      <c r="GC25" s="34"/>
      <c r="GD25" s="34"/>
      <c r="GE25" s="34"/>
      <c r="GF25" s="34"/>
      <c r="GG25" s="34"/>
      <c r="GH25" s="34"/>
      <c r="GI25" s="34"/>
      <c r="GJ25" s="34"/>
    </row>
    <row r="26" spans="1:193" s="28" customFormat="1" ht="88.15" customHeight="1" thickBot="1">
      <c r="A26" s="169" t="s">
        <v>53</v>
      </c>
      <c r="B26" s="157" t="s">
        <v>54</v>
      </c>
      <c r="C26" s="92" t="s">
        <v>55</v>
      </c>
      <c r="D26" s="93"/>
      <c r="E26" s="94"/>
      <c r="F26" s="94"/>
      <c r="G26" s="150" t="s">
        <v>56</v>
      </c>
      <c r="H26" s="140" t="s">
        <v>57</v>
      </c>
      <c r="I26" s="36"/>
      <c r="J26" s="3" t="str">
        <f t="shared" ca="1" si="13"/>
        <v/>
      </c>
      <c r="K26" s="29"/>
      <c r="L26" s="44"/>
      <c r="M26" s="29"/>
      <c r="N26" s="43"/>
      <c r="O26" s="29"/>
      <c r="P26" s="44"/>
      <c r="Q26" s="29"/>
      <c r="R26" s="29"/>
      <c r="S26" s="29"/>
      <c r="T26" s="29"/>
      <c r="U26" s="29"/>
      <c r="V26" s="29"/>
      <c r="W26" s="29"/>
      <c r="X26" s="29"/>
      <c r="Y26" s="67"/>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c r="FJ26" s="34"/>
      <c r="FK26" s="34"/>
      <c r="FL26" s="34"/>
      <c r="FM26" s="34"/>
      <c r="FN26" s="34"/>
      <c r="FO26" s="34"/>
      <c r="FP26" s="34"/>
      <c r="FQ26" s="34"/>
      <c r="FR26" s="34"/>
      <c r="FS26" s="34"/>
      <c r="FT26" s="34"/>
      <c r="FU26" s="34"/>
      <c r="FV26" s="34"/>
      <c r="FW26" s="34"/>
      <c r="FX26" s="34"/>
      <c r="FY26" s="34"/>
      <c r="FZ26" s="34"/>
      <c r="GA26" s="34"/>
      <c r="GB26" s="34"/>
      <c r="GC26" s="34"/>
      <c r="GD26" s="34"/>
      <c r="GE26" s="34"/>
      <c r="GF26" s="34"/>
      <c r="GG26" s="34"/>
      <c r="GH26" s="34"/>
      <c r="GI26" s="34"/>
      <c r="GJ26" s="34"/>
    </row>
    <row r="27" spans="1:193" s="28" customFormat="1" ht="88.15" customHeight="1" thickBot="1">
      <c r="A27" s="169"/>
      <c r="B27" s="157"/>
      <c r="C27" s="92" t="s">
        <v>51</v>
      </c>
      <c r="D27" s="93"/>
      <c r="E27" s="94"/>
      <c r="F27" s="94"/>
      <c r="G27" s="151"/>
      <c r="H27" s="135" t="s">
        <v>58</v>
      </c>
      <c r="I27" s="36"/>
      <c r="J27" s="3" t="str">
        <f t="shared" ca="1" si="13"/>
        <v/>
      </c>
      <c r="K27" s="29"/>
      <c r="L27" s="44"/>
      <c r="M27" s="29"/>
      <c r="N27" s="43"/>
      <c r="O27" s="29"/>
      <c r="P27" s="44"/>
      <c r="Q27" s="29"/>
      <c r="R27" s="29"/>
      <c r="S27" s="29"/>
      <c r="T27" s="29"/>
      <c r="U27" s="29"/>
      <c r="V27" s="29"/>
      <c r="W27" s="29"/>
      <c r="X27" s="29"/>
      <c r="Y27" s="67"/>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c r="EJ27" s="34"/>
      <c r="EK27" s="34"/>
      <c r="EL27" s="34"/>
      <c r="EM27" s="34"/>
      <c r="EN27" s="34"/>
      <c r="EO27" s="34"/>
      <c r="EP27" s="34"/>
      <c r="EQ27" s="34"/>
      <c r="ER27" s="34"/>
      <c r="ES27" s="34"/>
      <c r="ET27" s="34"/>
      <c r="EU27" s="34"/>
      <c r="EV27" s="34"/>
      <c r="EW27" s="34"/>
      <c r="EX27" s="34"/>
      <c r="EY27" s="34"/>
      <c r="EZ27" s="34"/>
      <c r="FA27" s="34"/>
      <c r="FB27" s="34"/>
      <c r="FC27" s="34"/>
      <c r="FD27" s="34"/>
      <c r="FE27" s="34"/>
      <c r="FF27" s="34"/>
      <c r="FG27" s="34"/>
      <c r="FH27" s="34"/>
      <c r="FI27" s="34"/>
      <c r="FJ27" s="34"/>
      <c r="FK27" s="34"/>
      <c r="FL27" s="34"/>
      <c r="FM27" s="34"/>
      <c r="FN27" s="34"/>
      <c r="FO27" s="34"/>
      <c r="FP27" s="34"/>
      <c r="FQ27" s="34"/>
      <c r="FR27" s="34"/>
      <c r="FS27" s="34"/>
      <c r="FT27" s="34"/>
      <c r="FU27" s="34"/>
      <c r="FV27" s="34"/>
      <c r="FW27" s="34"/>
      <c r="FX27" s="34"/>
      <c r="FY27" s="34"/>
      <c r="FZ27" s="34"/>
      <c r="GA27" s="34"/>
      <c r="GB27" s="34"/>
      <c r="GC27" s="34"/>
      <c r="GD27" s="34"/>
      <c r="GE27" s="34"/>
      <c r="GF27" s="34"/>
      <c r="GG27" s="34"/>
      <c r="GH27" s="34"/>
      <c r="GI27" s="34"/>
      <c r="GJ27" s="34"/>
    </row>
    <row r="28" spans="1:193" s="28" customFormat="1" ht="88.15" customHeight="1" thickBot="1">
      <c r="A28" s="169"/>
      <c r="B28" s="157"/>
      <c r="C28" s="92" t="s">
        <v>51</v>
      </c>
      <c r="D28" s="93"/>
      <c r="E28" s="95"/>
      <c r="F28" s="96"/>
      <c r="G28" s="152"/>
      <c r="H28" s="135" t="s">
        <v>59</v>
      </c>
      <c r="I28" s="36"/>
      <c r="J28" s="3" t="str">
        <f t="shared" ca="1" si="13"/>
        <v/>
      </c>
      <c r="K28" s="29"/>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c r="BQ28" s="141"/>
      <c r="BR28" s="141"/>
      <c r="BS28" s="141"/>
      <c r="BT28" s="141"/>
      <c r="BU28" s="141"/>
      <c r="BV28" s="141"/>
      <c r="BW28" s="141"/>
      <c r="BX28" s="141"/>
      <c r="BY28" s="141"/>
      <c r="BZ28" s="141"/>
      <c r="CA28" s="141"/>
      <c r="CB28" s="141"/>
      <c r="CC28" s="141"/>
      <c r="CD28" s="141"/>
      <c r="CE28" s="141"/>
      <c r="CF28" s="141"/>
      <c r="CG28" s="141"/>
      <c r="CH28" s="141"/>
      <c r="CI28" s="141"/>
      <c r="CJ28" s="141"/>
      <c r="CK28" s="141"/>
      <c r="CL28" s="141"/>
      <c r="CM28" s="141"/>
      <c r="CN28" s="141"/>
      <c r="CO28" s="141"/>
      <c r="CP28" s="141"/>
      <c r="CQ28" s="141"/>
      <c r="CR28" s="141"/>
      <c r="CS28" s="141"/>
      <c r="CT28" s="141"/>
      <c r="CU28" s="141"/>
      <c r="CV28" s="141"/>
      <c r="CW28" s="141"/>
      <c r="CX28" s="141"/>
      <c r="CY28" s="141"/>
      <c r="CZ28" s="141"/>
      <c r="DA28" s="141"/>
      <c r="DB28" s="141"/>
      <c r="DC28" s="141"/>
      <c r="DD28" s="141"/>
      <c r="DE28" s="141"/>
      <c r="DF28" s="141"/>
      <c r="DG28" s="141"/>
      <c r="DH28" s="141"/>
      <c r="DI28" s="141"/>
      <c r="DJ28" s="141"/>
      <c r="DK28" s="141"/>
      <c r="DL28" s="141"/>
      <c r="DM28" s="141"/>
      <c r="DN28" s="141"/>
      <c r="DO28" s="141"/>
      <c r="DP28" s="141"/>
      <c r="DQ28" s="141"/>
      <c r="DR28" s="141"/>
      <c r="DS28" s="141"/>
      <c r="DT28" s="141"/>
      <c r="DU28" s="141"/>
      <c r="DV28" s="141"/>
      <c r="DW28" s="141"/>
      <c r="DX28" s="141"/>
      <c r="DY28" s="141"/>
      <c r="DZ28" s="141"/>
      <c r="EA28" s="141"/>
      <c r="EB28" s="141"/>
      <c r="EC28" s="141"/>
      <c r="ED28" s="141"/>
      <c r="EE28" s="141"/>
      <c r="EF28" s="141"/>
      <c r="EG28" s="141"/>
      <c r="EH28" s="141"/>
      <c r="EI28" s="141"/>
      <c r="EJ28" s="141"/>
      <c r="EK28" s="141"/>
      <c r="EL28" s="141"/>
      <c r="EM28" s="141"/>
      <c r="EN28" s="141"/>
      <c r="EO28" s="141"/>
      <c r="EP28" s="141"/>
      <c r="EQ28" s="141"/>
      <c r="ER28" s="141"/>
      <c r="ES28" s="141"/>
      <c r="ET28" s="141"/>
      <c r="EU28" s="141"/>
      <c r="EV28" s="141"/>
      <c r="EW28" s="141"/>
      <c r="EX28" s="141"/>
      <c r="EY28" s="141"/>
      <c r="EZ28" s="141"/>
      <c r="FA28" s="141"/>
      <c r="FB28" s="141"/>
      <c r="FC28" s="141"/>
      <c r="FD28" s="141"/>
      <c r="FE28" s="141"/>
      <c r="FF28" s="141"/>
      <c r="FG28" s="141"/>
      <c r="FH28" s="141"/>
      <c r="FI28" s="141"/>
      <c r="FJ28" s="141"/>
      <c r="FK28" s="141"/>
      <c r="FL28" s="141"/>
      <c r="FM28" s="141"/>
      <c r="FN28" s="141"/>
      <c r="FO28" s="141"/>
      <c r="FP28" s="141"/>
      <c r="FQ28" s="141"/>
      <c r="FR28" s="141"/>
      <c r="FS28" s="141"/>
      <c r="FT28" s="141"/>
      <c r="FU28" s="141"/>
      <c r="FV28" s="141"/>
      <c r="FW28" s="141"/>
      <c r="FX28" s="141"/>
      <c r="FY28" s="141"/>
      <c r="FZ28" s="141"/>
      <c r="GA28" s="141"/>
      <c r="GB28" s="141"/>
      <c r="GC28" s="141"/>
      <c r="GD28" s="141"/>
      <c r="GE28" s="141"/>
      <c r="GF28" s="141"/>
      <c r="GG28" s="141"/>
      <c r="GH28" s="141"/>
      <c r="GI28" s="141"/>
      <c r="GJ28" s="141"/>
      <c r="GK28" s="141"/>
    </row>
    <row r="29" spans="1:193" s="28" customFormat="1" ht="88.15" customHeight="1" thickBot="1">
      <c r="A29" s="169"/>
      <c r="B29" s="157"/>
      <c r="C29" s="92" t="s">
        <v>55</v>
      </c>
      <c r="D29" s="93"/>
      <c r="E29" s="94"/>
      <c r="F29" s="94"/>
      <c r="G29" s="143" t="s">
        <v>60</v>
      </c>
      <c r="H29" s="135" t="s">
        <v>61</v>
      </c>
      <c r="I29" s="36"/>
      <c r="J29" s="3" t="str">
        <f t="shared" ca="1" si="13"/>
        <v/>
      </c>
      <c r="K29" s="29"/>
      <c r="L29" s="141"/>
      <c r="M29" s="141"/>
      <c r="N29" s="43"/>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c r="BQ29" s="141"/>
      <c r="BR29" s="141"/>
      <c r="BS29" s="141"/>
      <c r="BT29" s="141"/>
      <c r="BU29" s="141"/>
      <c r="BV29" s="141"/>
      <c r="BW29" s="141"/>
      <c r="BX29" s="141"/>
      <c r="BY29" s="141"/>
      <c r="BZ29" s="141"/>
      <c r="CA29" s="141"/>
      <c r="CB29" s="141"/>
      <c r="CC29" s="141"/>
      <c r="CD29" s="141"/>
      <c r="CE29" s="141"/>
      <c r="CF29" s="141"/>
      <c r="CG29" s="141"/>
      <c r="CH29" s="141"/>
      <c r="CI29" s="141"/>
      <c r="CJ29" s="141"/>
      <c r="CK29" s="141"/>
      <c r="CL29" s="141"/>
      <c r="CM29" s="141"/>
      <c r="CN29" s="141"/>
      <c r="CO29" s="141"/>
      <c r="CP29" s="141"/>
      <c r="CQ29" s="141"/>
      <c r="CR29" s="141"/>
      <c r="CS29" s="141"/>
      <c r="CT29" s="141"/>
      <c r="CU29" s="141"/>
      <c r="CV29" s="141"/>
      <c r="CW29" s="141"/>
      <c r="CX29" s="141"/>
      <c r="CY29" s="141"/>
      <c r="CZ29" s="141"/>
      <c r="DA29" s="141"/>
      <c r="DB29" s="141"/>
      <c r="DC29" s="141"/>
      <c r="DD29" s="141"/>
      <c r="DE29" s="141"/>
      <c r="DF29" s="141"/>
      <c r="DG29" s="141"/>
      <c r="DH29" s="141"/>
      <c r="DI29" s="141"/>
      <c r="DJ29" s="141"/>
      <c r="DK29" s="141"/>
      <c r="DL29" s="141"/>
      <c r="DM29" s="141"/>
      <c r="DN29" s="141"/>
      <c r="DO29" s="141"/>
      <c r="DP29" s="141"/>
      <c r="DQ29" s="141"/>
      <c r="DR29" s="141"/>
      <c r="DS29" s="141"/>
      <c r="DT29" s="141"/>
      <c r="DU29" s="141"/>
      <c r="DV29" s="141"/>
      <c r="DW29" s="141"/>
      <c r="DX29" s="141"/>
      <c r="DY29" s="141"/>
      <c r="DZ29" s="141"/>
      <c r="EA29" s="141"/>
      <c r="EB29" s="141"/>
      <c r="EC29" s="141"/>
      <c r="ED29" s="141"/>
      <c r="EE29" s="141"/>
      <c r="EF29" s="141"/>
      <c r="EG29" s="141"/>
      <c r="EH29" s="141"/>
      <c r="EI29" s="141"/>
      <c r="EJ29" s="141"/>
      <c r="EK29" s="141"/>
      <c r="EL29" s="141"/>
      <c r="EM29" s="141"/>
      <c r="EN29" s="141"/>
      <c r="EO29" s="141"/>
      <c r="EP29" s="141"/>
      <c r="EQ29" s="141"/>
      <c r="ER29" s="141"/>
      <c r="ES29" s="141"/>
      <c r="ET29" s="141"/>
      <c r="EU29" s="141"/>
      <c r="EV29" s="141"/>
      <c r="EW29" s="141"/>
      <c r="EX29" s="141"/>
      <c r="EY29" s="141"/>
      <c r="EZ29" s="141"/>
      <c r="FA29" s="141"/>
      <c r="FB29" s="141"/>
      <c r="FC29" s="141"/>
      <c r="FD29" s="141"/>
      <c r="FE29" s="141"/>
      <c r="FF29" s="141"/>
      <c r="FG29" s="141"/>
      <c r="FH29" s="141"/>
      <c r="FI29" s="141"/>
      <c r="FJ29" s="141"/>
      <c r="FK29" s="141"/>
      <c r="FL29" s="141"/>
      <c r="FM29" s="141"/>
      <c r="FN29" s="141"/>
      <c r="FO29" s="141"/>
      <c r="FP29" s="141"/>
      <c r="FQ29" s="141"/>
      <c r="FR29" s="141"/>
      <c r="FS29" s="141"/>
      <c r="FT29" s="141"/>
      <c r="FU29" s="141"/>
      <c r="FV29" s="141"/>
      <c r="FW29" s="141"/>
      <c r="FX29" s="141"/>
      <c r="FY29" s="141"/>
      <c r="FZ29" s="141"/>
      <c r="GA29" s="141"/>
      <c r="GB29" s="141"/>
      <c r="GC29" s="141"/>
      <c r="GD29" s="141"/>
      <c r="GE29" s="141"/>
      <c r="GF29" s="141"/>
      <c r="GG29" s="141"/>
      <c r="GH29" s="141"/>
      <c r="GI29" s="141"/>
      <c r="GJ29" s="141"/>
      <c r="GK29" s="141"/>
    </row>
    <row r="30" spans="1:193" s="28" customFormat="1" ht="88.15" customHeight="1" thickBot="1">
      <c r="A30" s="169"/>
      <c r="B30" s="157"/>
      <c r="C30" s="92" t="s">
        <v>41</v>
      </c>
      <c r="D30" s="93"/>
      <c r="E30" s="94"/>
      <c r="F30" s="94"/>
      <c r="G30" s="143" t="s">
        <v>56</v>
      </c>
      <c r="H30" s="136" t="s">
        <v>62</v>
      </c>
      <c r="I30" s="36"/>
      <c r="J30" s="3" t="str">
        <f t="shared" ca="1" si="13"/>
        <v/>
      </c>
      <c r="K30" s="29"/>
      <c r="L30" s="141"/>
      <c r="M30" s="141"/>
      <c r="N30" s="43"/>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1"/>
      <c r="BS30" s="141"/>
      <c r="BT30" s="141"/>
      <c r="BU30" s="141"/>
      <c r="BV30" s="141"/>
      <c r="BW30" s="141"/>
      <c r="BX30" s="141"/>
      <c r="BY30" s="141"/>
      <c r="BZ30" s="141"/>
      <c r="CA30" s="141"/>
      <c r="CB30" s="141"/>
      <c r="CC30" s="141"/>
      <c r="CD30" s="141"/>
      <c r="CE30" s="141"/>
      <c r="CF30" s="141"/>
      <c r="CG30" s="141"/>
      <c r="CH30" s="141"/>
      <c r="CI30" s="141"/>
      <c r="CJ30" s="141"/>
      <c r="CK30" s="141"/>
      <c r="CL30" s="141"/>
      <c r="CM30" s="141"/>
      <c r="CN30" s="141"/>
      <c r="CO30" s="141"/>
      <c r="CP30" s="141"/>
      <c r="CQ30" s="141"/>
      <c r="CR30" s="141"/>
      <c r="CS30" s="141"/>
      <c r="CT30" s="141"/>
      <c r="CU30" s="141"/>
      <c r="CV30" s="141"/>
      <c r="CW30" s="141"/>
      <c r="CX30" s="141"/>
      <c r="CY30" s="141"/>
      <c r="CZ30" s="141"/>
      <c r="DA30" s="141"/>
      <c r="DB30" s="141"/>
      <c r="DC30" s="141"/>
      <c r="DD30" s="141"/>
      <c r="DE30" s="141"/>
      <c r="DF30" s="141"/>
      <c r="DG30" s="141"/>
      <c r="DH30" s="141"/>
      <c r="DI30" s="141"/>
      <c r="DJ30" s="141"/>
      <c r="DK30" s="141"/>
      <c r="DL30" s="141"/>
      <c r="DM30" s="141"/>
      <c r="DN30" s="141"/>
      <c r="DO30" s="141"/>
      <c r="DP30" s="141"/>
      <c r="DQ30" s="141"/>
      <c r="DR30" s="141"/>
      <c r="DS30" s="141"/>
      <c r="DT30" s="141"/>
      <c r="DU30" s="141"/>
      <c r="DV30" s="141"/>
      <c r="DW30" s="141"/>
      <c r="DX30" s="141"/>
      <c r="DY30" s="141"/>
      <c r="DZ30" s="141"/>
      <c r="EA30" s="141"/>
      <c r="EB30" s="141"/>
      <c r="EC30" s="141"/>
      <c r="ED30" s="141"/>
      <c r="EE30" s="141"/>
      <c r="EF30" s="141"/>
      <c r="EG30" s="141"/>
      <c r="EH30" s="141"/>
      <c r="EI30" s="141"/>
      <c r="EJ30" s="141"/>
      <c r="EK30" s="141"/>
      <c r="EL30" s="141"/>
      <c r="EM30" s="141"/>
      <c r="EN30" s="141"/>
      <c r="EO30" s="141"/>
      <c r="EP30" s="141"/>
      <c r="EQ30" s="141"/>
      <c r="ER30" s="141"/>
      <c r="ES30" s="141"/>
      <c r="ET30" s="141"/>
      <c r="EU30" s="141"/>
      <c r="EV30" s="141"/>
      <c r="EW30" s="141"/>
      <c r="EX30" s="141"/>
      <c r="EY30" s="141"/>
      <c r="EZ30" s="141"/>
      <c r="FA30" s="141"/>
      <c r="FB30" s="141"/>
      <c r="FC30" s="141"/>
      <c r="FD30" s="141"/>
      <c r="FE30" s="141"/>
      <c r="FF30" s="141"/>
      <c r="FG30" s="141"/>
      <c r="FH30" s="141"/>
      <c r="FI30" s="141"/>
      <c r="FJ30" s="141"/>
      <c r="FK30" s="141"/>
      <c r="FL30" s="141"/>
      <c r="FM30" s="141"/>
      <c r="FN30" s="141"/>
      <c r="FO30" s="141"/>
      <c r="FP30" s="141"/>
      <c r="FQ30" s="141"/>
      <c r="FR30" s="141"/>
      <c r="FS30" s="141"/>
      <c r="FT30" s="141"/>
      <c r="FU30" s="141"/>
      <c r="FV30" s="141"/>
      <c r="FW30" s="141"/>
      <c r="FX30" s="141"/>
      <c r="FY30" s="141"/>
      <c r="FZ30" s="141"/>
      <c r="GA30" s="141"/>
      <c r="GB30" s="141"/>
      <c r="GC30" s="141"/>
      <c r="GD30" s="141"/>
      <c r="GE30" s="141"/>
      <c r="GF30" s="141"/>
      <c r="GG30" s="141"/>
      <c r="GH30" s="141"/>
      <c r="GI30" s="141"/>
      <c r="GJ30" s="141"/>
      <c r="GK30" s="141"/>
    </row>
    <row r="31" spans="1:193" s="28" customFormat="1" ht="88.15" customHeight="1" thickBot="1">
      <c r="A31" s="170" t="s">
        <v>63</v>
      </c>
      <c r="B31" s="147" t="s">
        <v>64</v>
      </c>
      <c r="C31" s="83" t="s">
        <v>41</v>
      </c>
      <c r="D31" s="84"/>
      <c r="E31" s="85"/>
      <c r="F31" s="85"/>
      <c r="G31" s="139" t="s">
        <v>65</v>
      </c>
      <c r="H31" s="124" t="s">
        <v>66</v>
      </c>
      <c r="I31" s="36"/>
      <c r="J31" s="3" t="str">
        <f t="shared" ca="1" si="13"/>
        <v/>
      </c>
      <c r="K31" s="29"/>
      <c r="L31" s="141"/>
      <c r="M31" s="141"/>
      <c r="N31" s="43"/>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1"/>
      <c r="BS31" s="141"/>
      <c r="BT31" s="141"/>
      <c r="BU31" s="141"/>
      <c r="BV31" s="141"/>
      <c r="BW31" s="141"/>
      <c r="BX31" s="141"/>
      <c r="BY31" s="141"/>
      <c r="BZ31" s="141"/>
      <c r="CA31" s="141"/>
      <c r="CB31" s="141"/>
      <c r="CC31" s="141"/>
      <c r="CD31" s="141"/>
      <c r="CE31" s="141"/>
      <c r="CF31" s="141"/>
      <c r="CG31" s="141"/>
      <c r="CH31" s="141"/>
      <c r="CI31" s="141"/>
      <c r="CJ31" s="141"/>
      <c r="CK31" s="141"/>
      <c r="CL31" s="141"/>
      <c r="CM31" s="141"/>
      <c r="CN31" s="141"/>
      <c r="CO31" s="141"/>
      <c r="CP31" s="141"/>
      <c r="CQ31" s="141"/>
      <c r="CR31" s="141"/>
      <c r="CS31" s="141"/>
      <c r="CT31" s="141"/>
      <c r="CU31" s="141"/>
      <c r="CV31" s="141"/>
      <c r="CW31" s="141"/>
      <c r="CX31" s="141"/>
      <c r="CY31" s="141"/>
      <c r="CZ31" s="141"/>
      <c r="DA31" s="141"/>
      <c r="DB31" s="141"/>
      <c r="DC31" s="141"/>
      <c r="DD31" s="141"/>
      <c r="DE31" s="141"/>
      <c r="DF31" s="141"/>
      <c r="DG31" s="141"/>
      <c r="DH31" s="141"/>
      <c r="DI31" s="141"/>
      <c r="DJ31" s="141"/>
      <c r="DK31" s="141"/>
      <c r="DL31" s="141"/>
      <c r="DM31" s="141"/>
      <c r="DN31" s="141"/>
      <c r="DO31" s="141"/>
      <c r="DP31" s="141"/>
      <c r="DQ31" s="141"/>
      <c r="DR31" s="141"/>
      <c r="DS31" s="141"/>
      <c r="DT31" s="141"/>
      <c r="DU31" s="141"/>
      <c r="DV31" s="141"/>
      <c r="DW31" s="141"/>
      <c r="DX31" s="141"/>
      <c r="DY31" s="141"/>
      <c r="DZ31" s="141"/>
      <c r="EA31" s="141"/>
      <c r="EB31" s="141"/>
      <c r="EC31" s="141"/>
      <c r="ED31" s="141"/>
      <c r="EE31" s="141"/>
      <c r="EF31" s="141"/>
      <c r="EG31" s="141"/>
      <c r="EH31" s="141"/>
      <c r="EI31" s="141"/>
      <c r="EJ31" s="141"/>
      <c r="EK31" s="141"/>
      <c r="EL31" s="141"/>
      <c r="EM31" s="141"/>
      <c r="EN31" s="141"/>
      <c r="EO31" s="141"/>
      <c r="EP31" s="141"/>
      <c r="EQ31" s="141"/>
      <c r="ER31" s="141"/>
      <c r="ES31" s="141"/>
      <c r="ET31" s="141"/>
      <c r="EU31" s="141"/>
      <c r="EV31" s="141"/>
      <c r="EW31" s="141"/>
      <c r="EX31" s="141"/>
      <c r="EY31" s="141"/>
      <c r="EZ31" s="141"/>
      <c r="FA31" s="141"/>
      <c r="FB31" s="141"/>
      <c r="FC31" s="141"/>
      <c r="FD31" s="141"/>
      <c r="FE31" s="141"/>
      <c r="FF31" s="141"/>
      <c r="FG31" s="141"/>
      <c r="FH31" s="141"/>
      <c r="FI31" s="141"/>
      <c r="FJ31" s="141"/>
      <c r="FK31" s="141"/>
      <c r="FL31" s="141"/>
      <c r="FM31" s="141"/>
      <c r="FN31" s="141"/>
      <c r="FO31" s="141"/>
      <c r="FP31" s="141"/>
      <c r="FQ31" s="141"/>
      <c r="FR31" s="141"/>
      <c r="FS31" s="141"/>
      <c r="FT31" s="141"/>
      <c r="FU31" s="141"/>
      <c r="FV31" s="141"/>
      <c r="FW31" s="141"/>
      <c r="FX31" s="141"/>
      <c r="FY31" s="141"/>
      <c r="FZ31" s="141"/>
      <c r="GA31" s="141"/>
      <c r="GB31" s="141"/>
      <c r="GC31" s="141"/>
      <c r="GD31" s="141"/>
      <c r="GE31" s="141"/>
      <c r="GF31" s="141"/>
      <c r="GG31" s="141"/>
      <c r="GH31" s="141"/>
      <c r="GI31" s="141"/>
      <c r="GJ31" s="141"/>
      <c r="GK31" s="141"/>
    </row>
    <row r="32" spans="1:193" s="28" customFormat="1" ht="88.15" customHeight="1" thickBot="1">
      <c r="A32" s="170"/>
      <c r="B32" s="148"/>
      <c r="C32" s="83" t="s">
        <v>41</v>
      </c>
      <c r="D32" s="84"/>
      <c r="E32" s="85"/>
      <c r="F32" s="85"/>
      <c r="G32" s="139" t="s">
        <v>67</v>
      </c>
      <c r="H32" s="124" t="s">
        <v>68</v>
      </c>
      <c r="I32" s="36"/>
      <c r="J32" s="3" t="str">
        <f t="shared" ca="1" si="13"/>
        <v/>
      </c>
      <c r="K32" s="29"/>
      <c r="L32" s="141"/>
      <c r="M32" s="141"/>
      <c r="N32" s="43"/>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1"/>
      <c r="BS32" s="141"/>
      <c r="BT32" s="141"/>
      <c r="BU32" s="141"/>
      <c r="BV32" s="141"/>
      <c r="BW32" s="141"/>
      <c r="BX32" s="141"/>
      <c r="BY32" s="141"/>
      <c r="BZ32" s="141"/>
      <c r="CA32" s="141"/>
      <c r="CB32" s="141"/>
      <c r="CC32" s="141"/>
      <c r="CD32" s="141"/>
      <c r="CE32" s="141"/>
      <c r="CF32" s="141"/>
      <c r="CG32" s="141"/>
      <c r="CH32" s="141"/>
      <c r="CI32" s="141"/>
      <c r="CJ32" s="141"/>
      <c r="CK32" s="141"/>
      <c r="CL32" s="141"/>
      <c r="CM32" s="141"/>
      <c r="CN32" s="141"/>
      <c r="CO32" s="141"/>
      <c r="CP32" s="141"/>
      <c r="CQ32" s="141"/>
      <c r="CR32" s="141"/>
      <c r="CS32" s="141"/>
      <c r="CT32" s="141"/>
      <c r="CU32" s="141"/>
      <c r="CV32" s="141"/>
      <c r="CW32" s="141"/>
      <c r="CX32" s="141"/>
      <c r="CY32" s="141"/>
      <c r="CZ32" s="141"/>
      <c r="DA32" s="141"/>
      <c r="DB32" s="141"/>
      <c r="DC32" s="141"/>
      <c r="DD32" s="141"/>
      <c r="DE32" s="141"/>
      <c r="DF32" s="141"/>
      <c r="DG32" s="141"/>
      <c r="DH32" s="141"/>
      <c r="DI32" s="141"/>
      <c r="DJ32" s="141"/>
      <c r="DK32" s="141"/>
      <c r="DL32" s="141"/>
      <c r="DM32" s="141"/>
      <c r="DN32" s="141"/>
      <c r="DO32" s="141"/>
      <c r="DP32" s="141"/>
      <c r="DQ32" s="141"/>
      <c r="DR32" s="141"/>
      <c r="DS32" s="141"/>
      <c r="DT32" s="141"/>
      <c r="DU32" s="141"/>
      <c r="DV32" s="141"/>
      <c r="DW32" s="141"/>
      <c r="DX32" s="141"/>
      <c r="DY32" s="141"/>
      <c r="DZ32" s="141"/>
      <c r="EA32" s="141"/>
      <c r="EB32" s="141"/>
      <c r="EC32" s="141"/>
      <c r="ED32" s="141"/>
      <c r="EE32" s="141"/>
      <c r="EF32" s="141"/>
      <c r="EG32" s="141"/>
      <c r="EH32" s="141"/>
      <c r="EI32" s="141"/>
      <c r="EJ32" s="141"/>
      <c r="EK32" s="141"/>
      <c r="EL32" s="141"/>
      <c r="EM32" s="141"/>
      <c r="EN32" s="141"/>
      <c r="EO32" s="141"/>
      <c r="EP32" s="141"/>
      <c r="EQ32" s="141"/>
      <c r="ER32" s="141"/>
      <c r="ES32" s="141"/>
      <c r="ET32" s="141"/>
      <c r="EU32" s="141"/>
      <c r="EV32" s="141"/>
      <c r="EW32" s="141"/>
      <c r="EX32" s="141"/>
      <c r="EY32" s="141"/>
      <c r="EZ32" s="141"/>
      <c r="FA32" s="141"/>
      <c r="FB32" s="141"/>
      <c r="FC32" s="141"/>
      <c r="FD32" s="141"/>
      <c r="FE32" s="141"/>
      <c r="FF32" s="141"/>
      <c r="FG32" s="141"/>
      <c r="FH32" s="141"/>
      <c r="FI32" s="141"/>
      <c r="FJ32" s="141"/>
      <c r="FK32" s="141"/>
      <c r="FL32" s="141"/>
      <c r="FM32" s="141"/>
      <c r="FN32" s="141"/>
      <c r="FO32" s="141"/>
      <c r="FP32" s="141"/>
      <c r="FQ32" s="141"/>
      <c r="FR32" s="141"/>
      <c r="FS32" s="141"/>
      <c r="FT32" s="141"/>
      <c r="FU32" s="141"/>
      <c r="FV32" s="141"/>
      <c r="FW32" s="141"/>
      <c r="FX32" s="141"/>
      <c r="FY32" s="141"/>
      <c r="FZ32" s="141"/>
      <c r="GA32" s="141"/>
      <c r="GB32" s="141"/>
      <c r="GC32" s="141"/>
      <c r="GD32" s="141"/>
      <c r="GE32" s="141"/>
      <c r="GF32" s="141"/>
      <c r="GG32" s="141"/>
      <c r="GH32" s="141"/>
      <c r="GI32" s="141"/>
      <c r="GJ32" s="141"/>
      <c r="GK32" s="141"/>
    </row>
    <row r="33" spans="1:193" s="28" customFormat="1" ht="88.15" customHeight="1" thickBot="1">
      <c r="A33" s="170"/>
      <c r="B33" s="148"/>
      <c r="C33" s="83" t="s">
        <v>41</v>
      </c>
      <c r="D33" s="84"/>
      <c r="E33" s="85"/>
      <c r="F33" s="85"/>
      <c r="G33" s="139" t="s">
        <v>69</v>
      </c>
      <c r="H33" s="124" t="s">
        <v>70</v>
      </c>
      <c r="I33" s="36"/>
      <c r="J33" s="3" t="str">
        <f t="shared" ca="1" si="13"/>
        <v/>
      </c>
      <c r="K33" s="29"/>
      <c r="L33" s="141"/>
      <c r="M33" s="141"/>
      <c r="N33" s="43"/>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1"/>
      <c r="BS33" s="141"/>
      <c r="BT33" s="141"/>
      <c r="BU33" s="141"/>
      <c r="BV33" s="141"/>
      <c r="BW33" s="141"/>
      <c r="BX33" s="141"/>
      <c r="BY33" s="141"/>
      <c r="BZ33" s="141"/>
      <c r="CA33" s="141"/>
      <c r="CB33" s="141"/>
      <c r="CC33" s="141"/>
      <c r="CD33" s="141"/>
      <c r="CE33" s="141"/>
      <c r="CF33" s="141"/>
      <c r="CG33" s="141"/>
      <c r="CH33" s="141"/>
      <c r="CI33" s="141"/>
      <c r="CJ33" s="141"/>
      <c r="CK33" s="141"/>
      <c r="CL33" s="141"/>
      <c r="CM33" s="141"/>
      <c r="CN33" s="141"/>
      <c r="CO33" s="141"/>
      <c r="CP33" s="141"/>
      <c r="CQ33" s="141"/>
      <c r="CR33" s="141"/>
      <c r="CS33" s="141"/>
      <c r="CT33" s="141"/>
      <c r="CU33" s="141"/>
      <c r="CV33" s="141"/>
      <c r="CW33" s="141"/>
      <c r="CX33" s="141"/>
      <c r="CY33" s="141"/>
      <c r="CZ33" s="141"/>
      <c r="DA33" s="141"/>
      <c r="DB33" s="141"/>
      <c r="DC33" s="141"/>
      <c r="DD33" s="141"/>
      <c r="DE33" s="141"/>
      <c r="DF33" s="141"/>
      <c r="DG33" s="141"/>
      <c r="DH33" s="141"/>
      <c r="DI33" s="141"/>
      <c r="DJ33" s="141"/>
      <c r="DK33" s="141"/>
      <c r="DL33" s="141"/>
      <c r="DM33" s="141"/>
      <c r="DN33" s="141"/>
      <c r="DO33" s="141"/>
      <c r="DP33" s="141"/>
      <c r="DQ33" s="141"/>
      <c r="DR33" s="141"/>
      <c r="DS33" s="141"/>
      <c r="DT33" s="141"/>
      <c r="DU33" s="141"/>
      <c r="DV33" s="141"/>
      <c r="DW33" s="141"/>
      <c r="DX33" s="141"/>
      <c r="DY33" s="141"/>
      <c r="DZ33" s="141"/>
      <c r="EA33" s="141"/>
      <c r="EB33" s="141"/>
      <c r="EC33" s="141"/>
      <c r="ED33" s="141"/>
      <c r="EE33" s="141"/>
      <c r="EF33" s="141"/>
      <c r="EG33" s="141"/>
      <c r="EH33" s="141"/>
      <c r="EI33" s="141"/>
      <c r="EJ33" s="141"/>
      <c r="EK33" s="141"/>
      <c r="EL33" s="141"/>
      <c r="EM33" s="141"/>
      <c r="EN33" s="141"/>
      <c r="EO33" s="141"/>
      <c r="EP33" s="141"/>
      <c r="EQ33" s="141"/>
      <c r="ER33" s="141"/>
      <c r="ES33" s="141"/>
      <c r="ET33" s="141"/>
      <c r="EU33" s="141"/>
      <c r="EV33" s="141"/>
      <c r="EW33" s="141"/>
      <c r="EX33" s="141"/>
      <c r="EY33" s="141"/>
      <c r="EZ33" s="141"/>
      <c r="FA33" s="141"/>
      <c r="FB33" s="141"/>
      <c r="FC33" s="141"/>
      <c r="FD33" s="141"/>
      <c r="FE33" s="141"/>
      <c r="FF33" s="141"/>
      <c r="FG33" s="141"/>
      <c r="FH33" s="141"/>
      <c r="FI33" s="141"/>
      <c r="FJ33" s="141"/>
      <c r="FK33" s="141"/>
      <c r="FL33" s="141"/>
      <c r="FM33" s="141"/>
      <c r="FN33" s="141"/>
      <c r="FO33" s="141"/>
      <c r="FP33" s="141"/>
      <c r="FQ33" s="141"/>
      <c r="FR33" s="141"/>
      <c r="FS33" s="141"/>
      <c r="FT33" s="141"/>
      <c r="FU33" s="141"/>
      <c r="FV33" s="141"/>
      <c r="FW33" s="141"/>
      <c r="FX33" s="141"/>
      <c r="FY33" s="141"/>
      <c r="FZ33" s="141"/>
      <c r="GA33" s="141"/>
      <c r="GB33" s="141"/>
      <c r="GC33" s="141"/>
      <c r="GD33" s="141"/>
      <c r="GE33" s="141"/>
      <c r="GF33" s="141"/>
      <c r="GG33" s="141"/>
      <c r="GH33" s="141"/>
      <c r="GI33" s="141"/>
      <c r="GJ33" s="141"/>
      <c r="GK33" s="141"/>
    </row>
    <row r="34" spans="1:193" s="28" customFormat="1" ht="88.15" customHeight="1" thickBot="1">
      <c r="A34" s="170"/>
      <c r="B34" s="148"/>
      <c r="C34" s="83" t="s">
        <v>41</v>
      </c>
      <c r="D34" s="84"/>
      <c r="E34" s="85"/>
      <c r="F34" s="85"/>
      <c r="G34" s="139" t="s">
        <v>71</v>
      </c>
      <c r="H34" s="124" t="s">
        <v>72</v>
      </c>
      <c r="I34" s="36"/>
      <c r="J34" s="3" t="str">
        <f t="shared" ca="1" si="13"/>
        <v/>
      </c>
      <c r="K34" s="34"/>
      <c r="L34" s="141"/>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1"/>
      <c r="BP34" s="141"/>
      <c r="BQ34" s="141"/>
      <c r="BR34" s="141"/>
      <c r="BS34" s="141"/>
      <c r="BT34" s="141"/>
      <c r="BU34" s="141"/>
      <c r="BV34" s="141"/>
      <c r="BW34" s="141"/>
      <c r="BX34" s="141"/>
      <c r="BY34" s="141"/>
      <c r="BZ34" s="141"/>
      <c r="CA34" s="141"/>
      <c r="CB34" s="141"/>
      <c r="CC34" s="141"/>
      <c r="CD34" s="141"/>
      <c r="CE34" s="141"/>
      <c r="CF34" s="141"/>
      <c r="CG34" s="141"/>
      <c r="CH34" s="141"/>
      <c r="CI34" s="141"/>
      <c r="CJ34" s="141"/>
      <c r="CK34" s="141"/>
      <c r="CL34" s="141"/>
      <c r="CM34" s="141"/>
      <c r="CN34" s="141"/>
      <c r="CO34" s="141"/>
      <c r="CP34" s="141"/>
      <c r="CQ34" s="141"/>
      <c r="CR34" s="141"/>
      <c r="CS34" s="141"/>
      <c r="CT34" s="141"/>
      <c r="CU34" s="141"/>
      <c r="CV34" s="141"/>
      <c r="CW34" s="141"/>
      <c r="CX34" s="141"/>
      <c r="CY34" s="141"/>
      <c r="CZ34" s="141"/>
      <c r="DA34" s="141"/>
      <c r="DB34" s="141"/>
      <c r="DC34" s="141"/>
      <c r="DD34" s="141"/>
      <c r="DE34" s="141"/>
      <c r="DF34" s="141"/>
      <c r="DG34" s="141"/>
      <c r="DH34" s="141"/>
      <c r="DI34" s="141"/>
      <c r="DJ34" s="141"/>
      <c r="DK34" s="141"/>
      <c r="DL34" s="141"/>
      <c r="DM34" s="141"/>
      <c r="DN34" s="141"/>
      <c r="DO34" s="141"/>
      <c r="DP34" s="141"/>
      <c r="DQ34" s="141"/>
      <c r="DR34" s="141"/>
      <c r="DS34" s="141"/>
      <c r="DT34" s="141"/>
      <c r="DU34" s="141"/>
      <c r="DV34" s="141"/>
      <c r="DW34" s="141"/>
      <c r="DX34" s="141"/>
      <c r="DY34" s="141"/>
      <c r="DZ34" s="141"/>
      <c r="EA34" s="141"/>
      <c r="EB34" s="141"/>
      <c r="EC34" s="141"/>
      <c r="ED34" s="141"/>
      <c r="EE34" s="141"/>
      <c r="EF34" s="141"/>
      <c r="EG34" s="141"/>
      <c r="EH34" s="141"/>
      <c r="EI34" s="141"/>
      <c r="EJ34" s="141"/>
      <c r="EK34" s="141"/>
      <c r="EL34" s="141"/>
      <c r="EM34" s="141"/>
      <c r="EN34" s="141"/>
      <c r="EO34" s="141"/>
      <c r="EP34" s="141"/>
      <c r="EQ34" s="141"/>
      <c r="ER34" s="141"/>
      <c r="ES34" s="141"/>
      <c r="ET34" s="141"/>
      <c r="EU34" s="141"/>
      <c r="EV34" s="141"/>
      <c r="EW34" s="141"/>
      <c r="EX34" s="141"/>
      <c r="EY34" s="141"/>
      <c r="EZ34" s="141"/>
      <c r="FA34" s="141"/>
      <c r="FB34" s="141"/>
      <c r="FC34" s="141"/>
      <c r="FD34" s="141"/>
      <c r="FE34" s="141"/>
      <c r="FF34" s="141"/>
      <c r="FG34" s="141"/>
      <c r="FH34" s="141"/>
      <c r="FI34" s="141"/>
      <c r="FJ34" s="141"/>
      <c r="FK34" s="141"/>
      <c r="FL34" s="141"/>
      <c r="FM34" s="141"/>
      <c r="FN34" s="141"/>
      <c r="FO34" s="141"/>
      <c r="FP34" s="141"/>
      <c r="FQ34" s="141"/>
      <c r="FR34" s="141"/>
      <c r="FS34" s="141"/>
      <c r="FT34" s="141"/>
      <c r="FU34" s="141"/>
      <c r="FV34" s="141"/>
      <c r="FW34" s="141"/>
      <c r="FX34" s="141"/>
      <c r="FY34" s="141"/>
      <c r="FZ34" s="141"/>
      <c r="GA34" s="141"/>
      <c r="GB34" s="141"/>
      <c r="GC34" s="141"/>
      <c r="GD34" s="141"/>
      <c r="GE34" s="141"/>
      <c r="GF34" s="141"/>
      <c r="GG34" s="141"/>
      <c r="GH34" s="141"/>
      <c r="GI34" s="141"/>
      <c r="GJ34" s="141"/>
      <c r="GK34" s="141"/>
    </row>
    <row r="35" spans="1:193" s="28" customFormat="1" ht="106.15" thickBot="1">
      <c r="A35" s="170"/>
      <c r="B35" s="148"/>
      <c r="C35" s="137" t="s">
        <v>41</v>
      </c>
      <c r="D35" s="84"/>
      <c r="E35" s="97"/>
      <c r="F35" s="86"/>
      <c r="G35" s="139" t="s">
        <v>71</v>
      </c>
      <c r="H35" s="124" t="s">
        <v>73</v>
      </c>
      <c r="I35" s="36"/>
      <c r="J35" s="4" t="str">
        <f t="shared" ca="1" si="13"/>
        <v/>
      </c>
      <c r="K35" s="34"/>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1"/>
      <c r="BP35" s="141"/>
      <c r="BQ35" s="141"/>
      <c r="BR35" s="141"/>
      <c r="BS35" s="141"/>
      <c r="BT35" s="141"/>
      <c r="BU35" s="141"/>
      <c r="BV35" s="141"/>
      <c r="BW35" s="141"/>
      <c r="BX35" s="141"/>
      <c r="BY35" s="141"/>
      <c r="BZ35" s="141"/>
      <c r="CA35" s="141"/>
      <c r="CB35" s="141"/>
      <c r="CC35" s="141"/>
      <c r="CD35" s="141"/>
      <c r="CE35" s="141"/>
      <c r="CF35" s="141"/>
      <c r="CG35" s="141"/>
      <c r="CH35" s="141"/>
      <c r="CI35" s="141"/>
      <c r="CJ35" s="141"/>
      <c r="CK35" s="141"/>
      <c r="CL35" s="141"/>
      <c r="CM35" s="141"/>
      <c r="CN35" s="141"/>
      <c r="CO35" s="141"/>
      <c r="CP35" s="141"/>
      <c r="CQ35" s="141"/>
      <c r="CR35" s="141"/>
      <c r="CS35" s="141"/>
      <c r="CT35" s="141"/>
      <c r="CU35" s="141"/>
      <c r="CV35" s="141"/>
      <c r="CW35" s="141"/>
      <c r="CX35" s="141"/>
      <c r="CY35" s="141"/>
      <c r="CZ35" s="141"/>
      <c r="DA35" s="141"/>
      <c r="DB35" s="141"/>
      <c r="DC35" s="141"/>
      <c r="DD35" s="141"/>
      <c r="DE35" s="141"/>
      <c r="DF35" s="141"/>
      <c r="DG35" s="141"/>
      <c r="DH35" s="141"/>
      <c r="DI35" s="141"/>
      <c r="DJ35" s="141"/>
      <c r="DK35" s="141"/>
      <c r="DL35" s="141"/>
      <c r="DM35" s="141"/>
      <c r="DN35" s="141"/>
      <c r="DO35" s="141"/>
      <c r="DP35" s="141"/>
      <c r="DQ35" s="141"/>
      <c r="DR35" s="141"/>
      <c r="DS35" s="141"/>
      <c r="DT35" s="141"/>
      <c r="DU35" s="141"/>
      <c r="DV35" s="141"/>
      <c r="DW35" s="141"/>
      <c r="DX35" s="141"/>
      <c r="DY35" s="141"/>
      <c r="DZ35" s="141"/>
      <c r="EA35" s="141"/>
      <c r="EB35" s="141"/>
      <c r="EC35" s="141"/>
      <c r="ED35" s="141"/>
      <c r="EE35" s="141"/>
      <c r="EF35" s="141"/>
      <c r="EG35" s="141"/>
      <c r="EH35" s="141"/>
      <c r="EI35" s="141"/>
      <c r="EJ35" s="141"/>
      <c r="EK35" s="141"/>
      <c r="EL35" s="141"/>
      <c r="EM35" s="141"/>
      <c r="EN35" s="141"/>
      <c r="EO35" s="141"/>
      <c r="EP35" s="141"/>
      <c r="EQ35" s="141"/>
      <c r="ER35" s="141"/>
      <c r="ES35" s="141"/>
      <c r="ET35" s="141"/>
      <c r="EU35" s="141"/>
      <c r="EV35" s="141"/>
      <c r="EW35" s="141"/>
      <c r="EX35" s="141"/>
      <c r="EY35" s="141"/>
      <c r="EZ35" s="141"/>
      <c r="FA35" s="141"/>
      <c r="FB35" s="141"/>
      <c r="FC35" s="141"/>
      <c r="FD35" s="141"/>
      <c r="FE35" s="141"/>
      <c r="FF35" s="141"/>
      <c r="FG35" s="141"/>
      <c r="FH35" s="141"/>
      <c r="FI35" s="141"/>
      <c r="FJ35" s="141"/>
      <c r="FK35" s="141"/>
      <c r="FL35" s="141"/>
      <c r="FM35" s="141"/>
      <c r="FN35" s="141"/>
      <c r="FO35" s="141"/>
      <c r="FP35" s="141"/>
      <c r="FQ35" s="141"/>
      <c r="FR35" s="141"/>
      <c r="FS35" s="141"/>
      <c r="FT35" s="141"/>
      <c r="FU35" s="141"/>
      <c r="FV35" s="141"/>
      <c r="FW35" s="141"/>
      <c r="FX35" s="141"/>
      <c r="FY35" s="141"/>
      <c r="FZ35" s="141"/>
      <c r="GA35" s="141"/>
      <c r="GB35" s="141"/>
      <c r="GC35" s="141"/>
      <c r="GD35" s="141"/>
      <c r="GE35" s="141"/>
      <c r="GF35" s="141"/>
      <c r="GG35" s="141"/>
      <c r="GH35" s="141"/>
      <c r="GI35" s="141"/>
      <c r="GJ35" s="141"/>
      <c r="GK35" s="141"/>
    </row>
    <row r="36" spans="1:193" ht="88.15" customHeight="1">
      <c r="A36" s="170"/>
      <c r="B36" s="149"/>
      <c r="C36" s="138" t="s">
        <v>41</v>
      </c>
      <c r="D36" s="98"/>
      <c r="E36" s="98"/>
      <c r="F36" s="98"/>
      <c r="G36" s="144" t="s">
        <v>71</v>
      </c>
      <c r="H36" s="124" t="s">
        <v>74</v>
      </c>
      <c r="I36" s="36"/>
      <c r="K36" s="34"/>
      <c r="L36" s="141"/>
      <c r="M36" s="141"/>
      <c r="N36" s="141"/>
      <c r="O36" s="141"/>
      <c r="P36" s="141"/>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BO36" s="141"/>
      <c r="BP36" s="141"/>
      <c r="BQ36" s="141"/>
      <c r="BR36" s="141"/>
      <c r="BS36" s="141"/>
      <c r="BT36" s="141"/>
      <c r="BU36" s="141"/>
      <c r="BV36" s="141"/>
      <c r="BW36" s="141"/>
      <c r="BX36" s="141"/>
      <c r="BY36" s="141"/>
      <c r="BZ36" s="141"/>
      <c r="CA36" s="141"/>
      <c r="CB36" s="141"/>
      <c r="CC36" s="141"/>
      <c r="CD36" s="141"/>
      <c r="CE36" s="141"/>
      <c r="CF36" s="141"/>
      <c r="CG36" s="141"/>
      <c r="CH36" s="141"/>
      <c r="CI36" s="141"/>
      <c r="CJ36" s="141"/>
      <c r="CK36" s="141"/>
      <c r="CL36" s="141"/>
      <c r="CM36" s="141"/>
      <c r="CN36" s="141"/>
      <c r="CO36" s="141"/>
      <c r="CP36" s="141"/>
      <c r="CQ36" s="141"/>
      <c r="CR36" s="141"/>
      <c r="CS36" s="141"/>
      <c r="CT36" s="141"/>
      <c r="CU36" s="141"/>
      <c r="CV36" s="141"/>
      <c r="CW36" s="141"/>
      <c r="CX36" s="141"/>
      <c r="CY36" s="141"/>
      <c r="CZ36" s="141"/>
      <c r="DA36" s="141"/>
      <c r="DB36" s="141"/>
      <c r="DC36" s="141"/>
      <c r="DD36" s="141"/>
      <c r="DE36" s="141"/>
      <c r="DF36" s="141"/>
      <c r="DG36" s="141"/>
      <c r="DH36" s="141"/>
      <c r="DI36" s="141"/>
      <c r="DJ36" s="141"/>
      <c r="DK36" s="141"/>
      <c r="DL36" s="141"/>
      <c r="DM36" s="141"/>
      <c r="DN36" s="141"/>
      <c r="DO36" s="141"/>
      <c r="DP36" s="141"/>
      <c r="DQ36" s="141"/>
      <c r="DR36" s="141"/>
      <c r="DS36" s="141"/>
      <c r="DT36" s="141"/>
      <c r="DU36" s="141"/>
      <c r="DV36" s="141"/>
      <c r="DW36" s="141"/>
      <c r="DX36" s="141"/>
      <c r="DY36" s="141"/>
      <c r="DZ36" s="141"/>
      <c r="EA36" s="141"/>
      <c r="EB36" s="141"/>
      <c r="EC36" s="141"/>
      <c r="ED36" s="141"/>
      <c r="EE36" s="141"/>
      <c r="EF36" s="141"/>
      <c r="EG36" s="141"/>
      <c r="EH36" s="141"/>
      <c r="EI36" s="141"/>
      <c r="EJ36" s="141"/>
      <c r="EK36" s="141"/>
      <c r="EL36" s="141"/>
      <c r="EM36" s="141"/>
      <c r="EN36" s="141"/>
      <c r="EO36" s="141"/>
      <c r="EP36" s="141"/>
      <c r="EQ36" s="141"/>
      <c r="ER36" s="141"/>
      <c r="ES36" s="141"/>
      <c r="ET36" s="141"/>
      <c r="EU36" s="141"/>
      <c r="EV36" s="141"/>
      <c r="EW36" s="141"/>
      <c r="EX36" s="141"/>
      <c r="EY36" s="141"/>
      <c r="EZ36" s="141"/>
      <c r="FA36" s="141"/>
      <c r="FB36" s="141"/>
      <c r="FC36" s="141"/>
      <c r="FD36" s="141"/>
      <c r="FE36" s="141"/>
      <c r="FF36" s="141"/>
      <c r="FG36" s="141"/>
      <c r="FH36" s="141"/>
      <c r="FI36" s="141"/>
      <c r="FJ36" s="141"/>
      <c r="FK36" s="141"/>
      <c r="FL36" s="141"/>
      <c r="FM36" s="141"/>
      <c r="FN36" s="141"/>
      <c r="FO36" s="141"/>
      <c r="FP36" s="141"/>
      <c r="FQ36" s="141"/>
      <c r="FR36" s="141"/>
      <c r="FS36" s="141"/>
      <c r="FT36" s="141"/>
      <c r="FU36" s="141"/>
      <c r="FV36" s="141"/>
      <c r="FW36" s="141"/>
      <c r="FX36" s="141"/>
      <c r="FY36" s="141"/>
      <c r="FZ36" s="141"/>
      <c r="GA36" s="141"/>
      <c r="GB36" s="141"/>
      <c r="GC36" s="141"/>
      <c r="GD36" s="141"/>
      <c r="GE36" s="141"/>
      <c r="GF36" s="141"/>
      <c r="GG36" s="141"/>
      <c r="GH36" s="141"/>
      <c r="GI36" s="141"/>
      <c r="GJ36" s="141"/>
      <c r="GK36" s="141"/>
    </row>
    <row r="37" spans="1:193" ht="30" customHeight="1">
      <c r="A37" s="36"/>
      <c r="B37" s="36"/>
      <c r="C37" s="36"/>
      <c r="D37" s="36"/>
      <c r="E37" s="36"/>
      <c r="F37" s="36"/>
      <c r="G37" s="36"/>
      <c r="H37" s="36"/>
      <c r="I37" s="36"/>
      <c r="J37" s="69"/>
      <c r="K37" s="69"/>
      <c r="L37" s="69"/>
      <c r="M37" s="69"/>
      <c r="N37" s="69"/>
      <c r="O37" s="69"/>
      <c r="P37" s="69"/>
      <c r="Q37" s="69"/>
    </row>
    <row r="38" spans="1:193" ht="30" customHeight="1">
      <c r="A38" s="68"/>
      <c r="B38" s="68"/>
      <c r="C38" s="68"/>
      <c r="D38" s="68"/>
      <c r="E38" s="68"/>
      <c r="F38" s="68"/>
      <c r="G38" s="68"/>
      <c r="H38" s="68"/>
      <c r="I38" s="70"/>
      <c r="J38" s="69"/>
      <c r="K38" s="69"/>
      <c r="L38" s="69"/>
      <c r="M38" s="69"/>
      <c r="N38" s="69"/>
      <c r="O38" s="69"/>
      <c r="P38" s="69"/>
      <c r="Q38" s="69"/>
    </row>
    <row r="39" spans="1:193" ht="30" customHeight="1">
      <c r="A39" s="68"/>
      <c r="B39" s="68"/>
      <c r="C39" s="68"/>
      <c r="D39" s="68"/>
      <c r="E39" s="68"/>
      <c r="F39" s="68"/>
      <c r="G39" s="68"/>
      <c r="H39" s="68"/>
      <c r="I39" s="69"/>
      <c r="J39" s="69"/>
      <c r="K39" s="69"/>
      <c r="L39" s="69"/>
      <c r="M39" s="69"/>
      <c r="N39" s="69"/>
      <c r="O39" s="69"/>
      <c r="P39" s="69"/>
      <c r="Q39" s="69"/>
    </row>
    <row r="40" spans="1:193" ht="30" customHeight="1">
      <c r="A40" s="68"/>
      <c r="B40" s="68"/>
      <c r="C40" s="68"/>
      <c r="D40" s="68"/>
      <c r="E40" s="68"/>
      <c r="F40" s="68"/>
      <c r="G40" s="68"/>
      <c r="H40" s="68"/>
      <c r="I40" s="69"/>
      <c r="J40" s="69"/>
      <c r="K40" s="69"/>
      <c r="L40" s="69"/>
      <c r="M40" s="69"/>
      <c r="N40" s="69"/>
      <c r="O40" s="69"/>
      <c r="P40" s="69"/>
      <c r="Q40" s="69"/>
    </row>
    <row r="41" spans="1:193" ht="30" customHeight="1">
      <c r="A41" s="68"/>
      <c r="B41" s="68"/>
      <c r="C41" s="68"/>
      <c r="D41" s="68"/>
      <c r="E41" s="68"/>
      <c r="F41" s="68"/>
      <c r="G41" s="68"/>
      <c r="H41" s="68"/>
      <c r="I41" s="69"/>
      <c r="J41" s="69"/>
      <c r="K41" s="69"/>
      <c r="L41" s="69"/>
      <c r="M41" s="69"/>
      <c r="N41" s="69"/>
      <c r="O41" s="69"/>
      <c r="P41" s="69"/>
      <c r="Q41" s="69"/>
    </row>
    <row r="42" spans="1:193" ht="30" customHeight="1">
      <c r="A42" s="68"/>
      <c r="B42" s="68"/>
      <c r="C42" s="68"/>
      <c r="D42" s="68"/>
      <c r="E42" s="68"/>
      <c r="F42" s="68"/>
      <c r="G42" s="68"/>
      <c r="H42" s="68"/>
      <c r="I42" s="69"/>
      <c r="J42" s="69"/>
      <c r="K42" s="69"/>
      <c r="L42" s="69"/>
      <c r="M42" s="69"/>
      <c r="N42" s="69"/>
      <c r="O42" s="69"/>
      <c r="P42" s="69"/>
      <c r="Q42" s="69"/>
    </row>
    <row r="43" spans="1:193" ht="30" customHeight="1">
      <c r="A43" s="68"/>
      <c r="B43" s="68"/>
      <c r="C43" s="68"/>
      <c r="D43" s="68"/>
      <c r="E43" s="68"/>
      <c r="F43" s="68"/>
      <c r="G43" s="68"/>
      <c r="H43" s="68"/>
      <c r="I43" s="69"/>
      <c r="J43" s="69"/>
      <c r="K43" s="69"/>
      <c r="L43" s="69"/>
      <c r="M43" s="69"/>
      <c r="N43" s="69"/>
      <c r="O43" s="69"/>
      <c r="P43" s="69"/>
      <c r="Q43" s="69"/>
    </row>
    <row r="44" spans="1:193" ht="30" customHeight="1">
      <c r="A44" s="68"/>
      <c r="B44" s="68"/>
      <c r="C44" s="68"/>
      <c r="D44" s="68"/>
      <c r="E44" s="68"/>
      <c r="F44" s="68"/>
      <c r="G44" s="68"/>
      <c r="H44" s="68"/>
      <c r="I44" s="69"/>
      <c r="J44" s="69"/>
      <c r="K44" s="69"/>
      <c r="L44" s="69"/>
      <c r="M44" s="69"/>
      <c r="N44" s="69"/>
      <c r="O44" s="69"/>
      <c r="P44" s="69"/>
      <c r="Q44" s="69"/>
    </row>
    <row r="56" spans="3:3" ht="30" customHeight="1">
      <c r="C56" s="37"/>
    </row>
  </sheetData>
  <autoFilter ref="A8:H36" xr:uid="{00000000-0001-0000-0000-000000000000}"/>
  <mergeCells count="55">
    <mergeCell ref="FP4:FV4"/>
    <mergeCell ref="FW4:GC4"/>
    <mergeCell ref="GD4:GJ4"/>
    <mergeCell ref="AE1:AK1"/>
    <mergeCell ref="AM1:AV1"/>
    <mergeCell ref="EG4:EM4"/>
    <mergeCell ref="EN4:ET4"/>
    <mergeCell ref="EU4:FA4"/>
    <mergeCell ref="FB4:FH4"/>
    <mergeCell ref="FI4:FO4"/>
    <mergeCell ref="CX4:DD4"/>
    <mergeCell ref="DE4:DK4"/>
    <mergeCell ref="DL4:DR4"/>
    <mergeCell ref="DS4:DY4"/>
    <mergeCell ref="DZ4:EF4"/>
    <mergeCell ref="BO4:BU4"/>
    <mergeCell ref="BV4:CB4"/>
    <mergeCell ref="CC4:CI4"/>
    <mergeCell ref="CJ4:CP4"/>
    <mergeCell ref="CQ4:CW4"/>
    <mergeCell ref="A5:A6"/>
    <mergeCell ref="B5:B6"/>
    <mergeCell ref="C5:C6"/>
    <mergeCell ref="D5:D6"/>
    <mergeCell ref="E5:E6"/>
    <mergeCell ref="F5:F6"/>
    <mergeCell ref="G5:G6"/>
    <mergeCell ref="H5:H6"/>
    <mergeCell ref="S2:AB2"/>
    <mergeCell ref="S1:AB1"/>
    <mergeCell ref="K1:Q1"/>
    <mergeCell ref="K2:Q2"/>
    <mergeCell ref="BH4:BN4"/>
    <mergeCell ref="K4:Q4"/>
    <mergeCell ref="R4:X4"/>
    <mergeCell ref="Y4:AE4"/>
    <mergeCell ref="AF4:AL4"/>
    <mergeCell ref="AM4:AS4"/>
    <mergeCell ref="AT4:AZ4"/>
    <mergeCell ref="BA4:BG4"/>
    <mergeCell ref="A9:A12"/>
    <mergeCell ref="A13:A18"/>
    <mergeCell ref="A19:A25"/>
    <mergeCell ref="A26:A30"/>
    <mergeCell ref="A31:A36"/>
    <mergeCell ref="B31:B36"/>
    <mergeCell ref="G26:G28"/>
    <mergeCell ref="B19:B25"/>
    <mergeCell ref="B9:B12"/>
    <mergeCell ref="B13:B18"/>
    <mergeCell ref="B26:B30"/>
    <mergeCell ref="G14:G16"/>
    <mergeCell ref="G19:G22"/>
    <mergeCell ref="G23:G25"/>
    <mergeCell ref="G9:G11"/>
  </mergeCells>
  <conditionalFormatting sqref="D7:D35">
    <cfRule type="dataBar" priority="31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O14:P18 K11:K33 L14:GJ16">
    <cfRule type="expression" dxfId="33" priority="300" stopIfTrue="1">
      <formula>AND(task_end&gt;=M$5,task_start&lt;N$5)</formula>
    </cfRule>
  </conditionalFormatting>
  <conditionalFormatting sqref="K33">
    <cfRule type="expression" dxfId="32" priority="14">
      <formula>AND(task_start&lt;=M$5,ROUNDDOWN((task_end-task_start+1)*task_progress,0)+task_start-1&gt;=M$5)</formula>
    </cfRule>
    <cfRule type="expression" dxfId="31" priority="15" stopIfTrue="1">
      <formula>AND(task_end&gt;=M$5,task_start&lt;N$5)</formula>
    </cfRule>
    <cfRule type="expression" dxfId="30" priority="16">
      <formula>AND(task_start&lt;=M$5,ROUNDDOWN((task_end-task_start+1)*task_progress,0)+task_start-1&gt;=M$5)</formula>
    </cfRule>
    <cfRule type="expression" dxfId="29" priority="17" stopIfTrue="1">
      <formula>AND(task_end&gt;=M$5,task_start&lt;N$5)</formula>
    </cfRule>
  </conditionalFormatting>
  <conditionalFormatting sqref="L17:BN21">
    <cfRule type="expression" dxfId="28" priority="298" stopIfTrue="1">
      <formula>AND(task_end&gt;=N$5,task_start&lt;O$5)</formula>
    </cfRule>
  </conditionalFormatting>
  <conditionalFormatting sqref="L23:BN27">
    <cfRule type="expression" dxfId="27" priority="296" stopIfTrue="1">
      <formula>AND(task_end&gt;=N$5,task_start&lt;O$5)</formula>
    </cfRule>
  </conditionalFormatting>
  <conditionalFormatting sqref="L9:GJ13">
    <cfRule type="expression" dxfId="26" priority="33">
      <formula>AND(TODAY()&gt;=N$5, TODAY()&lt;O$5)</formula>
    </cfRule>
    <cfRule type="expression" dxfId="25" priority="39" stopIfTrue="1">
      <formula>AND(task_end&gt;=N$5,task_start&lt;O$5)</formula>
    </cfRule>
  </conditionalFormatting>
  <conditionalFormatting sqref="L9:GJ15 K11:K33">
    <cfRule type="expression" dxfId="24" priority="38">
      <formula>AND(task_start&lt;=M$5,ROUNDDOWN((task_end-task_start+1)*task_progress,0)+task_start-1&gt;=M$5)</formula>
    </cfRule>
  </conditionalFormatting>
  <conditionalFormatting sqref="BO4:GJ4 K7:BN8 K11:K33 L28:GK36 L14:GJ27">
    <cfRule type="expression" dxfId="23" priority="294">
      <formula>AND(TODAY()&gt;=M$5, TODAY()&lt;N$5)</formula>
    </cfRule>
  </conditionalFormatting>
  <conditionalFormatting sqref="L17:GJ21">
    <cfRule type="expression" dxfId="22" priority="36">
      <formula>AND(task_start&lt;=N$5,ROUNDDOWN((task_end-task_start+1)*task_progress,0)+task_start-1&gt;=N$5)</formula>
    </cfRule>
  </conditionalFormatting>
  <conditionalFormatting sqref="L23:GJ27">
    <cfRule type="expression" dxfId="21" priority="34">
      <formula>AND(task_start&lt;=N$5,ROUNDDOWN((task_end-task_start+1)*task_progress,0)+task_start-1&gt;=N$5)</formula>
    </cfRule>
  </conditionalFormatting>
  <conditionalFormatting sqref="M5:GL6">
    <cfRule type="expression" dxfId="20" priority="293">
      <formula>AND(TODAY()&gt;=M$5, TODAY()&lt;N$5)</formula>
    </cfRule>
  </conditionalFormatting>
  <conditionalFormatting sqref="O23:O27">
    <cfRule type="expression" dxfId="19" priority="20">
      <formula>AND(task_start&lt;=Q$5,ROUNDDOWN((task_end-task_start+1)*task_progress,0)+task_start-1&gt;=Q$5)</formula>
    </cfRule>
    <cfRule type="expression" dxfId="18" priority="21" stopIfTrue="1">
      <formula>AND(task_end&gt;=Q$5,task_start&lt;R$5)</formula>
    </cfRule>
  </conditionalFormatting>
  <conditionalFormatting sqref="O14:P18 L16:GJ16">
    <cfRule type="expression" dxfId="17" priority="299">
      <formula>AND(task_start&lt;=N$5,ROUNDDOWN((task_end-task_start+1)*task_progress,0)+task_start-1&gt;=N$5)</formula>
    </cfRule>
  </conditionalFormatting>
  <conditionalFormatting sqref="BO8:DK8">
    <cfRule type="expression" dxfId="16" priority="23">
      <formula>AND(TODAY()&gt;=BQ$5, TODAY()&lt;BR$5)</formula>
    </cfRule>
  </conditionalFormatting>
  <conditionalFormatting sqref="BO17:GJ21">
    <cfRule type="expression" dxfId="15" priority="37" stopIfTrue="1">
      <formula>AND(task_end&gt;=BQ$5,task_start&lt;BR$5)</formula>
    </cfRule>
  </conditionalFormatting>
  <conditionalFormatting sqref="BO23:GJ27">
    <cfRule type="expression" dxfId="14" priority="35" stopIfTrue="1">
      <formula>AND(task_end&gt;=BQ$5,task_start&lt;BR$5)</formula>
    </cfRule>
  </conditionalFormatting>
  <conditionalFormatting sqref="DN8:GJ8">
    <cfRule type="expression" dxfId="13" priority="22">
      <formula>AND(TODAY()&gt;=DP$5, TODAY()&lt;DQ$5)</formula>
    </cfRule>
  </conditionalFormatting>
  <conditionalFormatting sqref="K34:K36">
    <cfRule type="expression" dxfId="12" priority="13" stopIfTrue="1">
      <formula>AND(task_end&gt;=M$5,task_start&lt;N$5)</formula>
    </cfRule>
  </conditionalFormatting>
  <conditionalFormatting sqref="K34:K36">
    <cfRule type="expression" dxfId="11" priority="7">
      <formula>AND(task_start&lt;=M$5,ROUNDDOWN((task_end-task_start+1)*task_progress,0)+task_start-1&gt;=M$5)</formula>
    </cfRule>
    <cfRule type="expression" dxfId="10" priority="8" stopIfTrue="1">
      <formula>AND(task_end&gt;=M$5,task_start&lt;N$5)</formula>
    </cfRule>
    <cfRule type="expression" dxfId="9" priority="9">
      <formula>AND(task_start&lt;=M$5,ROUNDDOWN((task_end-task_start+1)*task_progress,0)+task_start-1&gt;=M$5)</formula>
    </cfRule>
    <cfRule type="expression" dxfId="8" priority="10" stopIfTrue="1">
      <formula>AND(task_end&gt;=M$5,task_start&lt;N$5)</formula>
    </cfRule>
  </conditionalFormatting>
  <conditionalFormatting sqref="K34:K36">
    <cfRule type="expression" dxfId="7" priority="11">
      <formula>AND(task_start&lt;=M$5,ROUNDDOWN((task_end-task_start+1)*task_progress,0)+task_start-1&gt;=M$5)</formula>
    </cfRule>
  </conditionalFormatting>
  <conditionalFormatting sqref="K34:K36">
    <cfRule type="expression" dxfId="6" priority="12">
      <formula>AND(TODAY()&gt;=M$5, TODAY()&lt;N$5)</formula>
    </cfRule>
  </conditionalFormatting>
  <conditionalFormatting sqref="L28:GK36">
    <cfRule type="expression" dxfId="5" priority="6" stopIfTrue="1">
      <formula>AND(task_end&gt;=N$5,task_start&lt;O$5)</formula>
    </cfRule>
  </conditionalFormatting>
  <conditionalFormatting sqref="L28:GK36">
    <cfRule type="expression" dxfId="4" priority="5">
      <formula>AND(task_start&lt;=N$5,ROUNDDOWN((task_end-task_start+1)*task_progress,0)+task_start-1&gt;=N$5)</formula>
    </cfRule>
  </conditionalFormatting>
  <conditionalFormatting sqref="L22:BU22">
    <cfRule type="expression" dxfId="3" priority="4" stopIfTrue="1">
      <formula>AND(task_end&gt;=N$5,task_start&lt;O$5)</formula>
    </cfRule>
  </conditionalFormatting>
  <conditionalFormatting sqref="L22:BU22">
    <cfRule type="expression" dxfId="2" priority="3">
      <formula>AND(task_start&lt;=N$5,ROUNDDOWN((task_end-task_start+1)*task_progress,0)+task_start-1&gt;=N$5)</formula>
    </cfRule>
  </conditionalFormatting>
  <conditionalFormatting sqref="BW22:GJ22">
    <cfRule type="expression" dxfId="1" priority="2" stopIfTrue="1">
      <formula>AND(task_end&gt;=BY$5,task_start&lt;BZ$5)</formula>
    </cfRule>
  </conditionalFormatting>
  <conditionalFormatting sqref="BW22:GJ22">
    <cfRule type="expression" dxfId="0" priority="1">
      <formula>AND(task_start&lt;=BY$5,ROUNDDOWN((task_end-task_start+1)*task_progress,0)+task_start-1&gt;=BY$5)</formula>
    </cfRule>
  </conditionalFormatting>
  <dataValidations count="2">
    <dataValidation type="whole" operator="greaterThanOrEqual" allowBlank="1" showInputMessage="1" promptTitle="Display Week" prompt="Changing this number will scroll the Gantt Chart view." sqref="S2" xr:uid="{00000000-0002-0000-0000-000000000000}">
      <formula1>1</formula1>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s>
  <printOptions horizontalCentered="1"/>
  <pageMargins left="0.35" right="0.35" top="0.35" bottom="0.5" header="0.3" footer="0.3"/>
  <pageSetup scale="1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EAA7-EC8A-4621-9FEE-C2A7F6CBEFB3}">
  <dimension ref="A1:F16"/>
  <sheetViews>
    <sheetView workbookViewId="0">
      <selection activeCell="M21" sqref="M21"/>
    </sheetView>
  </sheetViews>
  <sheetFormatPr defaultColWidth="8.875" defaultRowHeight="13.5"/>
  <cols>
    <col min="1" max="1" width="7.375" style="57" customWidth="1"/>
    <col min="2" max="2" width="20.375" style="57" bestFit="1" customWidth="1"/>
    <col min="3" max="3" width="62.75" style="57" customWidth="1"/>
    <col min="4" max="4" width="57.375" style="57" bestFit="1" customWidth="1"/>
    <col min="5" max="5" width="9.625" style="57" bestFit="1" customWidth="1"/>
    <col min="6" max="6" width="11.625" style="57" customWidth="1"/>
    <col min="7" max="16384" width="8.875" style="57"/>
  </cols>
  <sheetData>
    <row r="1" spans="1:6" ht="15">
      <c r="A1" s="56" t="s">
        <v>75</v>
      </c>
      <c r="B1" s="56" t="s">
        <v>76</v>
      </c>
      <c r="C1" s="56" t="s">
        <v>77</v>
      </c>
      <c r="D1" s="56" t="s">
        <v>78</v>
      </c>
      <c r="E1" s="56" t="s">
        <v>79</v>
      </c>
      <c r="F1" s="56" t="s">
        <v>80</v>
      </c>
    </row>
    <row r="2" spans="1:6" ht="27">
      <c r="A2" s="142" t="s">
        <v>81</v>
      </c>
      <c r="B2" s="57" t="s">
        <v>82</v>
      </c>
      <c r="C2" s="58" t="s">
        <v>83</v>
      </c>
      <c r="D2" s="57" t="s">
        <v>84</v>
      </c>
      <c r="E2" s="60" t="s">
        <v>85</v>
      </c>
    </row>
    <row r="3" spans="1:6" ht="27">
      <c r="A3" s="142" t="s">
        <v>26</v>
      </c>
      <c r="B3" s="57" t="s">
        <v>86</v>
      </c>
      <c r="C3" s="58" t="s">
        <v>87</v>
      </c>
      <c r="D3" s="57" t="s">
        <v>88</v>
      </c>
      <c r="E3" s="60" t="s">
        <v>85</v>
      </c>
    </row>
    <row r="4" spans="1:6" ht="27">
      <c r="A4" s="142" t="s">
        <v>29</v>
      </c>
      <c r="B4" s="57" t="s">
        <v>89</v>
      </c>
      <c r="C4" s="58" t="s">
        <v>90</v>
      </c>
      <c r="D4" s="57" t="s">
        <v>91</v>
      </c>
      <c r="E4" s="60" t="s">
        <v>85</v>
      </c>
    </row>
    <row r="5" spans="1:6" ht="27">
      <c r="A5" s="142" t="s">
        <v>92</v>
      </c>
      <c r="B5" s="57" t="s">
        <v>93</v>
      </c>
      <c r="C5" s="58" t="s">
        <v>94</v>
      </c>
      <c r="D5" s="57" t="s">
        <v>95</v>
      </c>
      <c r="E5" s="60" t="s">
        <v>85</v>
      </c>
    </row>
    <row r="6" spans="1:6" ht="27">
      <c r="A6" s="142" t="s">
        <v>96</v>
      </c>
      <c r="B6" s="57" t="s">
        <v>97</v>
      </c>
      <c r="C6" s="58" t="s">
        <v>98</v>
      </c>
      <c r="D6" s="57" t="s">
        <v>99</v>
      </c>
      <c r="E6" s="60" t="s">
        <v>100</v>
      </c>
    </row>
    <row r="7" spans="1:6" ht="27">
      <c r="A7" s="142" t="s">
        <v>101</v>
      </c>
      <c r="B7" s="57" t="s">
        <v>102</v>
      </c>
      <c r="C7" s="58" t="s">
        <v>103</v>
      </c>
      <c r="D7" s="57" t="s">
        <v>104</v>
      </c>
      <c r="E7" s="60" t="s">
        <v>100</v>
      </c>
    </row>
    <row r="8" spans="1:6" ht="13.9">
      <c r="A8" s="142"/>
      <c r="C8" s="58"/>
      <c r="E8" s="60"/>
    </row>
    <row r="9" spans="1:6" ht="15">
      <c r="A9" s="56" t="s">
        <v>75</v>
      </c>
      <c r="B9" s="56" t="s">
        <v>76</v>
      </c>
      <c r="C9" s="59" t="s">
        <v>77</v>
      </c>
      <c r="D9" s="56" t="s">
        <v>78</v>
      </c>
      <c r="E9" s="56" t="s">
        <v>79</v>
      </c>
      <c r="F9" s="56" t="s">
        <v>80</v>
      </c>
    </row>
    <row r="10" spans="1:6" ht="27">
      <c r="A10" s="142" t="s">
        <v>65</v>
      </c>
      <c r="B10" s="57" t="s">
        <v>105</v>
      </c>
      <c r="C10" s="58" t="s">
        <v>106</v>
      </c>
      <c r="D10" s="57" t="s">
        <v>107</v>
      </c>
      <c r="E10" s="60" t="s">
        <v>85</v>
      </c>
    </row>
    <row r="11" spans="1:6" ht="27">
      <c r="A11" s="142" t="s">
        <v>108</v>
      </c>
      <c r="B11" s="57" t="s">
        <v>109</v>
      </c>
      <c r="C11" s="58" t="s">
        <v>110</v>
      </c>
      <c r="D11" s="57" t="s">
        <v>111</v>
      </c>
      <c r="E11" s="60" t="s">
        <v>85</v>
      </c>
    </row>
    <row r="12" spans="1:6" ht="27">
      <c r="A12" s="142" t="s">
        <v>112</v>
      </c>
      <c r="B12" s="57" t="s">
        <v>113</v>
      </c>
      <c r="C12" s="58" t="s">
        <v>114</v>
      </c>
      <c r="D12" s="57" t="s">
        <v>115</v>
      </c>
      <c r="E12" s="60" t="s">
        <v>85</v>
      </c>
    </row>
    <row r="13" spans="1:6" ht="27">
      <c r="A13" s="142" t="s">
        <v>116</v>
      </c>
      <c r="B13" s="57" t="s">
        <v>117</v>
      </c>
      <c r="C13" s="58" t="s">
        <v>118</v>
      </c>
      <c r="D13" s="57" t="s">
        <v>119</v>
      </c>
      <c r="E13" s="60" t="s">
        <v>85</v>
      </c>
    </row>
    <row r="14" spans="1:6" ht="27">
      <c r="A14" s="142" t="s">
        <v>120</v>
      </c>
      <c r="B14" s="57" t="s">
        <v>121</v>
      </c>
      <c r="C14" s="58" t="s">
        <v>122</v>
      </c>
      <c r="D14" s="57" t="s">
        <v>123</v>
      </c>
      <c r="E14" s="60" t="s">
        <v>100</v>
      </c>
    </row>
    <row r="15" spans="1:6" ht="27">
      <c r="A15" s="142" t="s">
        <v>124</v>
      </c>
      <c r="B15" s="57" t="s">
        <v>125</v>
      </c>
      <c r="C15" s="58" t="s">
        <v>126</v>
      </c>
      <c r="D15" s="57" t="s">
        <v>127</v>
      </c>
      <c r="E15" s="60" t="s">
        <v>100</v>
      </c>
    </row>
    <row r="16" spans="1:6" ht="27">
      <c r="A16" s="142" t="s">
        <v>128</v>
      </c>
      <c r="B16" s="57" t="s">
        <v>129</v>
      </c>
      <c r="C16" s="58" t="s">
        <v>130</v>
      </c>
      <c r="D16" s="57" t="s">
        <v>131</v>
      </c>
      <c r="E16" s="60"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7199-4C78-4A31-886F-B261B6FCBD58}">
  <dimension ref="A1:C47"/>
  <sheetViews>
    <sheetView workbookViewId="0">
      <selection activeCell="B43" sqref="B43"/>
    </sheetView>
  </sheetViews>
  <sheetFormatPr defaultRowHeight="13.5"/>
  <cols>
    <col min="1" max="1" width="22.375" bestFit="1" customWidth="1"/>
    <col min="2" max="2" width="125.25" customWidth="1"/>
    <col min="3" max="3" width="90.125" bestFit="1" customWidth="1"/>
  </cols>
  <sheetData>
    <row r="1" spans="1:3" ht="13.9">
      <c r="A1" s="145" t="s">
        <v>132</v>
      </c>
      <c r="B1" s="145" t="s">
        <v>133</v>
      </c>
      <c r="C1" s="145" t="s">
        <v>134</v>
      </c>
    </row>
    <row r="2" spans="1:3" ht="13.9">
      <c r="A2" s="145" t="s">
        <v>135</v>
      </c>
      <c r="B2" s="145" t="s">
        <v>136</v>
      </c>
      <c r="C2" s="145"/>
    </row>
    <row r="3" spans="1:3">
      <c r="A3" t="s">
        <v>137</v>
      </c>
      <c r="B3" s="54" t="s">
        <v>138</v>
      </c>
      <c r="C3" t="s">
        <v>139</v>
      </c>
    </row>
    <row r="4" spans="1:3">
      <c r="A4" t="s">
        <v>140</v>
      </c>
      <c r="B4" s="54" t="s">
        <v>141</v>
      </c>
      <c r="C4" t="s">
        <v>142</v>
      </c>
    </row>
    <row r="5" spans="1:3">
      <c r="A5" t="s">
        <v>143</v>
      </c>
      <c r="B5" s="54" t="s">
        <v>144</v>
      </c>
      <c r="C5" t="s">
        <v>145</v>
      </c>
    </row>
    <row r="6" spans="1:3">
      <c r="A6" t="s">
        <v>146</v>
      </c>
      <c r="B6" s="54" t="s">
        <v>147</v>
      </c>
      <c r="C6" t="s">
        <v>148</v>
      </c>
    </row>
    <row r="7" spans="1:3">
      <c r="A7" t="s">
        <v>149</v>
      </c>
      <c r="B7" s="54" t="s">
        <v>150</v>
      </c>
      <c r="C7" t="s">
        <v>151</v>
      </c>
    </row>
    <row r="8" spans="1:3">
      <c r="B8" s="54"/>
    </row>
    <row r="9" spans="1:3" ht="13.9">
      <c r="A9" s="145" t="s">
        <v>152</v>
      </c>
      <c r="B9" s="146" t="s">
        <v>153</v>
      </c>
      <c r="C9" s="145"/>
    </row>
    <row r="10" spans="1:3" ht="27">
      <c r="A10" t="s">
        <v>154</v>
      </c>
      <c r="B10" s="54" t="s">
        <v>155</v>
      </c>
      <c r="C10" t="s">
        <v>156</v>
      </c>
    </row>
    <row r="11" spans="1:3">
      <c r="A11" t="s">
        <v>157</v>
      </c>
      <c r="B11" s="54" t="s">
        <v>158</v>
      </c>
      <c r="C11" t="s">
        <v>159</v>
      </c>
    </row>
    <row r="12" spans="1:3">
      <c r="A12" t="s">
        <v>160</v>
      </c>
      <c r="B12" s="54" t="s">
        <v>161</v>
      </c>
      <c r="C12" t="s">
        <v>162</v>
      </c>
    </row>
    <row r="13" spans="1:3">
      <c r="A13" t="s">
        <v>163</v>
      </c>
      <c r="B13" s="54" t="s">
        <v>164</v>
      </c>
      <c r="C13" t="s">
        <v>165</v>
      </c>
    </row>
    <row r="14" spans="1:3">
      <c r="A14" t="s">
        <v>166</v>
      </c>
      <c r="B14" s="54" t="s">
        <v>167</v>
      </c>
      <c r="C14" t="s">
        <v>168</v>
      </c>
    </row>
    <row r="15" spans="1:3">
      <c r="B15" s="54"/>
    </row>
    <row r="16" spans="1:3" ht="13.9">
      <c r="A16" s="145" t="s">
        <v>169</v>
      </c>
      <c r="B16" s="146" t="s">
        <v>170</v>
      </c>
      <c r="C16" s="145"/>
    </row>
    <row r="17" spans="1:3">
      <c r="A17" t="s">
        <v>171</v>
      </c>
      <c r="B17" s="54" t="s">
        <v>172</v>
      </c>
      <c r="C17" t="s">
        <v>173</v>
      </c>
    </row>
    <row r="18" spans="1:3">
      <c r="A18" t="s">
        <v>174</v>
      </c>
      <c r="B18" s="54" t="s">
        <v>175</v>
      </c>
      <c r="C18" t="s">
        <v>176</v>
      </c>
    </row>
    <row r="19" spans="1:3" ht="27">
      <c r="A19" t="s">
        <v>177</v>
      </c>
      <c r="B19" s="54" t="s">
        <v>178</v>
      </c>
      <c r="C19" t="s">
        <v>179</v>
      </c>
    </row>
    <row r="20" spans="1:3">
      <c r="A20" t="s">
        <v>180</v>
      </c>
      <c r="B20" s="54" t="s">
        <v>181</v>
      </c>
      <c r="C20" t="s">
        <v>182</v>
      </c>
    </row>
    <row r="21" spans="1:3">
      <c r="A21" t="s">
        <v>183</v>
      </c>
      <c r="B21" s="54" t="s">
        <v>184</v>
      </c>
      <c r="C21" t="s">
        <v>185</v>
      </c>
    </row>
    <row r="22" spans="1:3">
      <c r="B22" s="54"/>
    </row>
    <row r="23" spans="1:3" ht="13.9">
      <c r="A23" s="145" t="s">
        <v>186</v>
      </c>
      <c r="B23" s="146" t="s">
        <v>187</v>
      </c>
      <c r="C23" s="145"/>
    </row>
    <row r="24" spans="1:3" ht="27">
      <c r="A24" t="s">
        <v>188</v>
      </c>
      <c r="B24" s="54" t="s">
        <v>189</v>
      </c>
      <c r="C24" t="s">
        <v>190</v>
      </c>
    </row>
    <row r="25" spans="1:3" ht="27">
      <c r="A25" t="s">
        <v>191</v>
      </c>
      <c r="B25" s="54" t="s">
        <v>192</v>
      </c>
      <c r="C25" t="s">
        <v>193</v>
      </c>
    </row>
    <row r="26" spans="1:3">
      <c r="A26" t="s">
        <v>194</v>
      </c>
      <c r="B26" s="54" t="s">
        <v>195</v>
      </c>
      <c r="C26" t="s">
        <v>196</v>
      </c>
    </row>
    <row r="27" spans="1:3">
      <c r="A27" t="s">
        <v>197</v>
      </c>
      <c r="B27" s="54" t="s">
        <v>198</v>
      </c>
      <c r="C27" t="s">
        <v>199</v>
      </c>
    </row>
    <row r="28" spans="1:3">
      <c r="A28" t="s">
        <v>200</v>
      </c>
      <c r="B28" s="54" t="s">
        <v>201</v>
      </c>
      <c r="C28" t="s">
        <v>202</v>
      </c>
    </row>
    <row r="29" spans="1:3">
      <c r="B29" s="54"/>
    </row>
    <row r="30" spans="1:3" ht="13.9">
      <c r="A30" s="145" t="s">
        <v>203</v>
      </c>
      <c r="B30" s="146" t="s">
        <v>204</v>
      </c>
      <c r="C30" s="145"/>
    </row>
    <row r="31" spans="1:3">
      <c r="A31" t="s">
        <v>205</v>
      </c>
      <c r="B31" s="54" t="s">
        <v>206</v>
      </c>
      <c r="C31" t="s">
        <v>207</v>
      </c>
    </row>
    <row r="32" spans="1:3" s="54" customFormat="1" ht="27">
      <c r="A32" s="54" t="s">
        <v>208</v>
      </c>
      <c r="B32" s="54" t="s">
        <v>209</v>
      </c>
      <c r="C32" s="54" t="s">
        <v>210</v>
      </c>
    </row>
    <row r="33" spans="1:3">
      <c r="A33" t="s">
        <v>211</v>
      </c>
      <c r="B33" s="54" t="s">
        <v>212</v>
      </c>
      <c r="C33" t="s">
        <v>213</v>
      </c>
    </row>
    <row r="34" spans="1:3">
      <c r="A34" t="s">
        <v>214</v>
      </c>
      <c r="B34" s="54" t="s">
        <v>215</v>
      </c>
      <c r="C34" t="s">
        <v>216</v>
      </c>
    </row>
    <row r="35" spans="1:3">
      <c r="A35" t="s">
        <v>217</v>
      </c>
      <c r="B35" s="54" t="s">
        <v>218</v>
      </c>
      <c r="C35" t="s">
        <v>219</v>
      </c>
    </row>
    <row r="40" spans="1:3" ht="78.75" customHeight="1">
      <c r="A40" s="62" t="s">
        <v>220</v>
      </c>
      <c r="B40" s="61" t="s">
        <v>221</v>
      </c>
    </row>
    <row r="43" spans="1:3">
      <c r="A43" t="s">
        <v>222</v>
      </c>
    </row>
    <row r="44" spans="1:3">
      <c r="A44" t="s">
        <v>223</v>
      </c>
    </row>
    <row r="45" spans="1:3">
      <c r="A45" t="s">
        <v>224</v>
      </c>
    </row>
    <row r="46" spans="1:3">
      <c r="A46" t="s">
        <v>225</v>
      </c>
    </row>
    <row r="47" spans="1:3">
      <c r="A47" t="s">
        <v>226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C2348D59-3426-404A-A0C5-6456F6613EDB}"/>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Hasaan Ahmad (Student)</cp:lastModifiedBy>
  <cp:revision/>
  <dcterms:created xsi:type="dcterms:W3CDTF">2025-10-24T14:00:13Z</dcterms:created>
  <dcterms:modified xsi:type="dcterms:W3CDTF">2025-11-23T20:06:15Z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